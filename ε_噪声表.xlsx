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tabRatio="500" activeTab="4"/>
  </bookViews>
  <sheets>
    <sheet name="说明" sheetId="1" r:id="rId1"/>
    <sheet name="日因子" sheetId="2" r:id="rId2"/>
    <sheet name="时纹理" sheetId="3" r:id="rId3"/>
    <sheet name="波动幅度" sheetId="4" r:id="rId4"/>
    <sheet name="示例_首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<sst xmlns="http://schemas.openxmlformats.org/spreadsheetml/2006/main" count="590" uniqueCount="54">
  <si>
    <r>
      <rPr>
        <b/>
        <sz val="14"/>
        <color rgb="FF1F3864"/>
        <rFont val="Arial"/>
        <charset val="1"/>
      </rPr>
      <t xml:space="preserve">ε </t>
    </r>
    <r>
      <rPr>
        <b/>
        <sz val="14"/>
        <color rgb="FF1F3864"/>
        <rFont val="Noto Sans CJK SC"/>
        <charset val="134"/>
      </rPr>
      <t>噪声表 —— 让每天不雷同（确定性、可复现）</t>
    </r>
  </si>
  <si>
    <r>
      <rPr>
        <sz val="10"/>
        <color rgb="FF404040"/>
        <rFont val="Noto Sans CJK SC"/>
        <charset val="134"/>
      </rPr>
      <t>用途：</t>
    </r>
    <r>
      <rPr>
        <sz val="10"/>
        <color rgb="FF404040"/>
        <rFont val="Arial"/>
        <charset val="1"/>
      </rPr>
      <t xml:space="preserve">ε </t>
    </r>
    <r>
      <rPr>
        <sz val="10"/>
        <color rgb="FF404040"/>
        <rFont val="Noto Sans CJK SC"/>
        <charset val="134"/>
      </rPr>
      <t>是叠加在负载曲线上的乘性噪声，使每天的量级与形态不雷同、更像真实数据。</t>
    </r>
  </si>
  <si>
    <t>本表是预生成的固定噪声，读表即用 —— 相同边界条件必得完全相同的曲线；只有真实输入</t>
  </si>
  <si>
    <r>
      <rPr>
        <sz val="10"/>
        <color rgb="FF404040"/>
        <rFont val="Noto Sans CJK SC"/>
        <charset val="134"/>
      </rPr>
      <t xml:space="preserve">（峰值 </t>
    </r>
    <r>
      <rPr>
        <sz val="10"/>
        <color rgb="FF404040"/>
        <rFont val="Arial"/>
        <charset val="1"/>
      </rPr>
      <t xml:space="preserve">/ </t>
    </r>
    <r>
      <rPr>
        <sz val="10"/>
        <color rgb="FF404040"/>
        <rFont val="Noto Sans CJK SC"/>
        <charset val="134"/>
      </rPr>
      <t xml:space="preserve">账单 </t>
    </r>
    <r>
      <rPr>
        <sz val="10"/>
        <color rgb="FF404040"/>
        <rFont val="Arial"/>
        <charset val="1"/>
      </rPr>
      <t xml:space="preserve">/ </t>
    </r>
    <r>
      <rPr>
        <sz val="10"/>
        <color rgb="FF404040"/>
        <rFont val="Noto Sans CJK SC"/>
        <charset val="134"/>
      </rPr>
      <t xml:space="preserve">负载类型 </t>
    </r>
    <r>
      <rPr>
        <sz val="10"/>
        <color rgb="FF404040"/>
        <rFont val="Arial"/>
        <charset val="1"/>
      </rPr>
      <t xml:space="preserve">/ </t>
    </r>
    <r>
      <rPr>
        <sz val="10"/>
        <color rgb="FF404040"/>
        <rFont val="Noto Sans CJK SC"/>
        <charset val="134"/>
      </rPr>
      <t>工作窗口）改变时，曲线才会变。</t>
    </r>
  </si>
  <si>
    <t>应用公式（乘性）：</t>
  </si>
  <si>
    <r>
      <rPr>
        <sz val="10"/>
        <color rgb="FF404040"/>
        <rFont val="Arial"/>
        <charset val="1"/>
      </rPr>
      <t xml:space="preserve">    ε(</t>
    </r>
    <r>
      <rPr>
        <sz val="10"/>
        <color rgb="FF404040"/>
        <rFont val="Noto Sans CJK SC"/>
        <charset val="134"/>
      </rPr>
      <t xml:space="preserve">第 </t>
    </r>
    <r>
      <rPr>
        <sz val="10"/>
        <color rgb="FF404040"/>
        <rFont val="Arial"/>
        <charset val="1"/>
      </rPr>
      <t xml:space="preserve">d </t>
    </r>
    <r>
      <rPr>
        <sz val="10"/>
        <color rgb="FF404040"/>
        <rFont val="Noto Sans CJK SC"/>
        <charset val="134"/>
      </rPr>
      <t>天</t>
    </r>
    <r>
      <rPr>
        <sz val="10"/>
        <color rgb="FF404040"/>
        <rFont val="Arial"/>
        <charset val="1"/>
      </rPr>
      <t xml:space="preserve">, </t>
    </r>
    <r>
      <rPr>
        <sz val="10"/>
        <color rgb="FF404040"/>
        <rFont val="Noto Sans CJK SC"/>
        <charset val="134"/>
      </rPr>
      <t xml:space="preserve">第 </t>
    </r>
    <r>
      <rPr>
        <sz val="10"/>
        <color rgb="FF404040"/>
        <rFont val="Arial"/>
        <charset val="1"/>
      </rPr>
      <t xml:space="preserve">h </t>
    </r>
    <r>
      <rPr>
        <sz val="10"/>
        <color rgb="FF404040"/>
        <rFont val="Noto Sans CJK SC"/>
        <charset val="134"/>
      </rPr>
      <t>时</t>
    </r>
    <r>
      <rPr>
        <sz val="10"/>
        <color rgb="FF404040"/>
        <rFont val="Arial"/>
        <charset val="1"/>
      </rPr>
      <t xml:space="preserve">) = </t>
    </r>
    <r>
      <rPr>
        <sz val="10"/>
        <color rgb="FF404040"/>
        <rFont val="Noto Sans CJK SC"/>
        <charset val="134"/>
      </rPr>
      <t>波动幅度</t>
    </r>
    <r>
      <rPr>
        <sz val="10"/>
        <color rgb="FF404040"/>
        <rFont val="Arial"/>
        <charset val="1"/>
      </rPr>
      <t>[</t>
    </r>
    <r>
      <rPr>
        <sz val="10"/>
        <color rgb="FF404040"/>
        <rFont val="Noto Sans CJK SC"/>
        <charset val="134"/>
      </rPr>
      <t>类型</t>
    </r>
    <r>
      <rPr>
        <sz val="10"/>
        <color rgb="FF404040"/>
        <rFont val="Arial"/>
        <charset val="1"/>
      </rPr>
      <t xml:space="preserve">] × ( </t>
    </r>
    <r>
      <rPr>
        <sz val="10"/>
        <color rgb="FF404040"/>
        <rFont val="Noto Sans CJK SC"/>
        <charset val="134"/>
      </rPr>
      <t>日因子</t>
    </r>
    <r>
      <rPr>
        <sz val="10"/>
        <color rgb="FF404040"/>
        <rFont val="Arial"/>
        <charset val="1"/>
      </rPr>
      <t xml:space="preserve">[d] + 0.4 × </t>
    </r>
    <r>
      <rPr>
        <sz val="10"/>
        <color rgb="FF404040"/>
        <rFont val="Noto Sans CJK SC"/>
        <charset val="134"/>
      </rPr>
      <t>时纹理</t>
    </r>
    <r>
      <rPr>
        <sz val="10"/>
        <color rgb="FF404040"/>
        <rFont val="Arial"/>
        <charset val="1"/>
      </rPr>
      <t>[</t>
    </r>
    <r>
      <rPr>
        <sz val="10"/>
        <color rgb="FF404040"/>
        <rFont val="Noto Sans CJK SC"/>
        <charset val="134"/>
      </rPr>
      <t>星期</t>
    </r>
    <r>
      <rPr>
        <sz val="10"/>
        <color rgb="FF404040"/>
        <rFont val="Arial"/>
        <charset val="1"/>
      </rPr>
      <t>(d)][h] )</t>
    </r>
  </si>
  <si>
    <r>
      <rPr>
        <sz val="10"/>
        <color rgb="FF404040"/>
        <rFont val="Arial"/>
        <charset val="1"/>
      </rPr>
      <t xml:space="preserve">    P(d, h) ← P(d, h) × ( 1 + ε(d, h) )</t>
    </r>
    <r>
      <rPr>
        <sz val="10"/>
        <color rgb="FF404040"/>
        <rFont val="Noto Sans CJK SC"/>
        <charset val="134"/>
      </rPr>
      <t xml:space="preserve">，并夹在 </t>
    </r>
    <r>
      <rPr>
        <sz val="10"/>
        <color rgb="FF404040"/>
        <rFont val="Arial"/>
        <charset val="1"/>
      </rPr>
      <t>[0, P_peak]</t>
    </r>
    <r>
      <rPr>
        <sz val="10"/>
        <color rgb="FF404040"/>
        <rFont val="Noto Sans CJK SC"/>
        <charset val="134"/>
      </rPr>
      <t>。</t>
    </r>
  </si>
  <si>
    <r>
      <rPr>
        <sz val="10"/>
        <color rgb="FF404040"/>
        <rFont val="Noto Sans CJK SC"/>
        <charset val="134"/>
      </rPr>
      <t xml:space="preserve">    注：波动幅度用小数代入（如 </t>
    </r>
    <r>
      <rPr>
        <sz val="10"/>
        <color rgb="FF404040"/>
        <rFont val="Arial"/>
        <charset val="1"/>
      </rPr>
      <t>10% → 0.10</t>
    </r>
    <r>
      <rPr>
        <sz val="10"/>
        <color rgb="FF404040"/>
        <rFont val="Noto Sans CJK SC"/>
        <charset val="134"/>
      </rPr>
      <t>）。</t>
    </r>
  </si>
  <si>
    <t>各表说明：</t>
  </si>
  <si>
    <r>
      <rPr>
        <sz val="10"/>
        <color rgb="FF404040"/>
        <rFont val="Arial"/>
        <charset val="1"/>
      </rPr>
      <t xml:space="preserve">· </t>
    </r>
    <r>
      <rPr>
        <sz val="10"/>
        <color rgb="FF404040"/>
        <rFont val="Noto Sans CJK SC"/>
        <charset val="134"/>
      </rPr>
      <t xml:space="preserve">日因子（全年 </t>
    </r>
    <r>
      <rPr>
        <sz val="10"/>
        <color rgb="FF404040"/>
        <rFont val="Arial"/>
        <charset val="1"/>
      </rPr>
      <t xml:space="preserve">365 </t>
    </r>
    <r>
      <rPr>
        <sz val="10"/>
        <color rgb="FF404040"/>
        <rFont val="Noto Sans CJK SC"/>
        <charset val="134"/>
      </rPr>
      <t>天）：每天一个不同的量级偏差 —— 这是“每天不雷同”的主来源（</t>
    </r>
    <r>
      <rPr>
        <sz val="10"/>
        <color rgb="FF404040"/>
        <rFont val="Arial"/>
        <charset val="1"/>
      </rPr>
      <t xml:space="preserve">365 </t>
    </r>
    <r>
      <rPr>
        <sz val="10"/>
        <color rgb="FF404040"/>
        <rFont val="Noto Sans CJK SC"/>
        <charset val="134"/>
      </rPr>
      <t>天互不相同）。</t>
    </r>
  </si>
  <si>
    <r>
      <rPr>
        <sz val="10"/>
        <color rgb="FF404040"/>
        <rFont val="Arial"/>
        <charset val="1"/>
      </rPr>
      <t xml:space="preserve">· </t>
    </r>
    <r>
      <rPr>
        <sz val="10"/>
        <color rgb="FF404040"/>
        <rFont val="Noto Sans CJK SC"/>
        <charset val="134"/>
      </rPr>
      <t>时纹理（</t>
    </r>
    <r>
      <rPr>
        <sz val="10"/>
        <color rgb="FF404040"/>
        <rFont val="Arial"/>
        <charset val="1"/>
      </rPr>
      <t xml:space="preserve">7 </t>
    </r>
    <r>
      <rPr>
        <sz val="10"/>
        <color rgb="FF404040"/>
        <rFont val="Noto Sans CJK SC"/>
        <charset val="134"/>
      </rPr>
      <t xml:space="preserve">个工作日 </t>
    </r>
    <r>
      <rPr>
        <sz val="10"/>
        <color rgb="FF404040"/>
        <rFont val="Arial"/>
        <charset val="1"/>
      </rPr>
      <t xml:space="preserve">× 24 </t>
    </r>
    <r>
      <rPr>
        <sz val="10"/>
        <color rgb="FF404040"/>
        <rFont val="Noto Sans CJK SC"/>
        <charset val="134"/>
      </rPr>
      <t xml:space="preserve">时）：日内质感，按当天星期取对应列；一周 </t>
    </r>
    <r>
      <rPr>
        <sz val="10"/>
        <color rgb="FF404040"/>
        <rFont val="Arial"/>
        <charset val="1"/>
      </rPr>
      <t xml:space="preserve">7 </t>
    </r>
    <r>
      <rPr>
        <sz val="10"/>
        <color rgb="FF404040"/>
        <rFont val="Noto Sans CJK SC"/>
        <charset val="134"/>
      </rPr>
      <t>种形态、逐周循环。</t>
    </r>
  </si>
  <si>
    <r>
      <rPr>
        <sz val="10"/>
        <color rgb="FF404040"/>
        <rFont val="Arial"/>
        <charset val="1"/>
      </rPr>
      <t xml:space="preserve">· </t>
    </r>
    <r>
      <rPr>
        <sz val="10"/>
        <color rgb="FF404040"/>
        <rFont val="Noto Sans CJK SC"/>
        <charset val="134"/>
      </rPr>
      <t>波动幅度：每个负载类型的波动强度（</t>
    </r>
    <r>
      <rPr>
        <sz val="10"/>
        <color rgb="FF404040"/>
        <rFont val="Arial"/>
        <charset val="1"/>
      </rPr>
      <t>%</t>
    </r>
    <r>
      <rPr>
        <sz val="10"/>
        <color rgb="FF404040"/>
        <rFont val="Noto Sans CJK SC"/>
        <charset val="134"/>
      </rPr>
      <t xml:space="preserve">）。连续 </t>
    </r>
    <r>
      <rPr>
        <sz val="10"/>
        <color rgb="FF404040"/>
        <rFont val="Arial"/>
        <charset val="1"/>
      </rPr>
      <t xml:space="preserve">/ </t>
    </r>
    <r>
      <rPr>
        <sz val="10"/>
        <color rgb="FF404040"/>
        <rFont val="Noto Sans CJK SC"/>
        <charset val="134"/>
      </rPr>
      <t>恒载最小、充电站最大；想更平或更跳，只调这一个数。</t>
    </r>
  </si>
  <si>
    <r>
      <rPr>
        <sz val="10"/>
        <color rgb="FF404040"/>
        <rFont val="Noto Sans CJK SC"/>
        <charset val="134"/>
      </rPr>
      <t xml:space="preserve">口径：日因子、时纹理均为零均值、标准差 ≈ </t>
    </r>
    <r>
      <rPr>
        <sz val="10"/>
        <color rgb="FF404040"/>
        <rFont val="Arial"/>
        <charset val="1"/>
      </rPr>
      <t xml:space="preserve">1 </t>
    </r>
    <r>
      <rPr>
        <sz val="10"/>
        <color rgb="FF404040"/>
        <rFont val="Noto Sans CJK SC"/>
        <charset val="134"/>
      </rPr>
      <t>的确定性序列（固定种子生成），</t>
    </r>
  </si>
  <si>
    <r>
      <rPr>
        <sz val="10"/>
        <color rgb="FF404040"/>
        <rFont val="Noto Sans CJK SC"/>
        <charset val="134"/>
      </rPr>
      <t xml:space="preserve">故“波动幅度”≈ 该类噪声的 </t>
    </r>
    <r>
      <rPr>
        <sz val="10"/>
        <color rgb="FF404040"/>
        <rFont val="Arial"/>
        <charset val="1"/>
      </rPr>
      <t xml:space="preserve">1σ </t>
    </r>
    <r>
      <rPr>
        <sz val="10"/>
        <color rgb="FF404040"/>
        <rFont val="Noto Sans CJK SC"/>
        <charset val="134"/>
      </rPr>
      <t>水平。“示例</t>
    </r>
    <r>
      <rPr>
        <sz val="10"/>
        <color rgb="FF404040"/>
        <rFont val="Arial"/>
        <charset val="1"/>
      </rPr>
      <t>_</t>
    </r>
    <r>
      <rPr>
        <sz val="10"/>
        <color rgb="FF404040"/>
        <rFont val="Noto Sans CJK SC"/>
        <charset val="134"/>
      </rPr>
      <t>首周”页用制衣</t>
    </r>
    <r>
      <rPr>
        <sz val="10"/>
        <color rgb="FF404040"/>
        <rFont val="Arial"/>
        <charset val="1"/>
      </rPr>
      <t>(10%)</t>
    </r>
    <r>
      <rPr>
        <sz val="10"/>
        <color rgb="FF404040"/>
        <rFont val="Noto Sans CJK SC"/>
        <charset val="134"/>
      </rPr>
      <t xml:space="preserve">演示了前 </t>
    </r>
    <r>
      <rPr>
        <sz val="10"/>
        <color rgb="FF404040"/>
        <rFont val="Arial"/>
        <charset val="1"/>
      </rPr>
      <t xml:space="preserve">7 </t>
    </r>
    <r>
      <rPr>
        <sz val="10"/>
        <color rgb="FF404040"/>
        <rFont val="Noto Sans CJK SC"/>
        <charset val="134"/>
      </rPr>
      <t xml:space="preserve">天的 </t>
    </r>
    <r>
      <rPr>
        <sz val="10"/>
        <color rgb="FF404040"/>
        <rFont val="Arial"/>
        <charset val="1"/>
      </rPr>
      <t>(1+ε)</t>
    </r>
    <r>
      <rPr>
        <sz val="10"/>
        <color rgb="FF404040"/>
        <rFont val="Noto Sans CJK SC"/>
        <charset val="134"/>
      </rPr>
      <t>。</t>
    </r>
  </si>
  <si>
    <t>日序</t>
  </si>
  <si>
    <t>星期</t>
  </si>
  <si>
    <r>
      <rPr>
        <b/>
        <sz val="11"/>
        <color rgb="FFFFFFFF"/>
        <rFont val="Noto Sans CJK SC"/>
        <charset val="134"/>
      </rPr>
      <t xml:space="preserve">日因子 </t>
    </r>
    <r>
      <rPr>
        <b/>
        <sz val="11"/>
        <color rgb="FFFFFFFF"/>
        <rFont val="Arial"/>
        <charset val="1"/>
      </rPr>
      <t>δ_day</t>
    </r>
  </si>
  <si>
    <t>周一</t>
  </si>
  <si>
    <t>周二</t>
  </si>
  <si>
    <t>周三</t>
  </si>
  <si>
    <t>周四</t>
  </si>
  <si>
    <t>周五</t>
  </si>
  <si>
    <t>周六</t>
  </si>
  <si>
    <t>周日</t>
  </si>
  <si>
    <t>时</t>
  </si>
  <si>
    <t>负载类型</t>
  </si>
  <si>
    <r>
      <rPr>
        <b/>
        <sz val="11"/>
        <color rgb="FFFFFFFF"/>
        <rFont val="Noto Sans CJK SC"/>
        <charset val="134"/>
      </rPr>
      <t xml:space="preserve">波动幅度 </t>
    </r>
    <r>
      <rPr>
        <b/>
        <sz val="11"/>
        <color rgb="FFFFFFFF"/>
        <rFont val="Arial"/>
        <charset val="1"/>
      </rPr>
      <t>(%)</t>
    </r>
  </si>
  <si>
    <r>
      <rPr>
        <sz val="11"/>
        <rFont val="Noto Sans CJK SC"/>
        <charset val="134"/>
      </rPr>
      <t xml:space="preserve">碾米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大米加工</t>
    </r>
  </si>
  <si>
    <t>食品加工</t>
  </si>
  <si>
    <t>养殖场</t>
  </si>
  <si>
    <t>纺织</t>
  </si>
  <si>
    <t>制衣</t>
  </si>
  <si>
    <r>
      <rPr>
        <sz val="11"/>
        <rFont val="Noto Sans CJK SC"/>
        <charset val="134"/>
      </rPr>
      <t xml:space="preserve">木材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家具</t>
    </r>
  </si>
  <si>
    <r>
      <rPr>
        <sz val="11"/>
        <rFont val="Noto Sans CJK SC"/>
        <charset val="134"/>
      </rPr>
      <t xml:space="preserve">塑料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橡胶</t>
    </r>
  </si>
  <si>
    <t>金属加工</t>
  </si>
  <si>
    <t>代加工工厂</t>
  </si>
  <si>
    <t>其他工厂</t>
  </si>
  <si>
    <r>
      <rPr>
        <sz val="11"/>
        <rFont val="Noto Sans CJK SC"/>
        <charset val="134"/>
      </rPr>
      <t xml:space="preserve">水泥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建材</t>
    </r>
  </si>
  <si>
    <t>采矿</t>
  </si>
  <si>
    <t>化工</t>
  </si>
  <si>
    <t>商场</t>
  </si>
  <si>
    <r>
      <rPr>
        <sz val="11"/>
        <rFont val="Noto Sans CJK SC"/>
        <charset val="134"/>
      </rPr>
      <t xml:space="preserve">超市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零售</t>
    </r>
  </si>
  <si>
    <t>餐饮</t>
  </si>
  <si>
    <t>酒店</t>
  </si>
  <si>
    <t>充电站</t>
  </si>
  <si>
    <r>
      <rPr>
        <sz val="11"/>
        <rFont val="Noto Sans CJK SC"/>
        <charset val="134"/>
      </rPr>
      <t xml:space="preserve">医院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诊所</t>
    </r>
  </si>
  <si>
    <t>学校</t>
  </si>
  <si>
    <t>办公楼</t>
  </si>
  <si>
    <r>
      <rPr>
        <sz val="11"/>
        <rFont val="Noto Sans CJK SC"/>
        <charset val="134"/>
      </rPr>
      <t xml:space="preserve">仓储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物流</t>
    </r>
  </si>
  <si>
    <r>
      <rPr>
        <sz val="11"/>
        <rFont val="Noto Sans CJK SC"/>
        <charset val="134"/>
      </rPr>
      <t xml:space="preserve">冷库 </t>
    </r>
    <r>
      <rPr>
        <sz val="11"/>
        <rFont val="Arial"/>
        <charset val="1"/>
      </rPr>
      <t xml:space="preserve">/ </t>
    </r>
    <r>
      <rPr>
        <sz val="11"/>
        <rFont val="Noto Sans CJK SC"/>
        <charset val="134"/>
      </rPr>
      <t>冷链</t>
    </r>
  </si>
  <si>
    <t>通信基站</t>
  </si>
  <si>
    <t>示例：制衣（波动幅度）</t>
  </si>
  <si>
    <t>← 改这里即换波动强度</t>
  </si>
  <si>
    <t>1 + 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</si>
</sst>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1">
    <font>
      <sz val="11"/>
      <color theme="1"/>
      <name val="Calibri"/>
      <charset val="1"/>
    </font>
    <font>
      <b/>
      <sz val="11"/>
      <name val="Noto Sans CJK SC"/>
      <charset val="134"/>
    </font>
    <font>
      <sz val="11"/>
      <name val="Arial"/>
      <charset val="1"/>
    </font>
    <font>
      <sz val="10"/>
      <color rgb="FF404040"/>
      <name val="Noto Sans CJK SC"/>
      <charset val="134"/>
    </font>
    <font>
      <b/>
      <sz val="11"/>
      <color rgb="FFFFFFFF"/>
      <name val="Noto Sans CJK SC"/>
      <charset val="134"/>
    </font>
    <font>
      <b/>
      <sz val="11"/>
      <color rgb="FFFFFFFF"/>
      <name val="Arial"/>
      <charset val="1"/>
    </font>
    <font>
      <sz val="11"/>
      <name val="Noto Sans CJK SC"/>
      <charset val="134"/>
    </font>
    <font>
      <b/>
      <sz val="14"/>
      <color rgb="FF1F3864"/>
      <name val="Arial"/>
      <charset val="1"/>
    </font>
    <font>
      <sz val="10"/>
      <color rgb="FF40404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1F3864"/>
      <name val="Noto Sans CJK S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9" fontId="2" fillId="2" borderId="1" xfId="0" applyNumberFormat="1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8.68141592920354" defaultRowHeight="14.25"/>
  <cols>
    <col min="1" max="1" width="110" customWidth="1"/>
  </cols>
  <sheetData>
    <row r="1" ht="17.65" spans="1:1">
      <c r="A1" s="11" t="s">
        <v>0</v>
      </c>
    </row>
    <row r="2" spans="1:1">
      <c r="A2" s="12"/>
    </row>
    <row r="3" spans="1:1">
      <c r="A3" s="13" t="s">
        <v>1</v>
      </c>
    </row>
    <row r="4" spans="1:1">
      <c r="A4" s="13" t="s">
        <v>2</v>
      </c>
    </row>
    <row r="5" spans="1:1">
      <c r="A5" s="13" t="s">
        <v>3</v>
      </c>
    </row>
    <row r="6" spans="1:1">
      <c r="A6" s="12"/>
    </row>
    <row r="7" spans="1:1">
      <c r="A7" s="14" t="s">
        <v>4</v>
      </c>
    </row>
    <row r="8" spans="1:1">
      <c r="A8" s="15" t="s">
        <v>5</v>
      </c>
    </row>
    <row r="9" spans="1:1">
      <c r="A9" s="15" t="s">
        <v>6</v>
      </c>
    </row>
    <row r="10" spans="1:1">
      <c r="A10" s="13" t="s">
        <v>7</v>
      </c>
    </row>
    <row r="11" spans="1:1">
      <c r="A11" s="12"/>
    </row>
    <row r="12" spans="1:1">
      <c r="A12" s="14" t="s">
        <v>8</v>
      </c>
    </row>
    <row r="13" spans="1:1">
      <c r="A13" s="15" t="s">
        <v>9</v>
      </c>
    </row>
    <row r="14" spans="1:1">
      <c r="A14" s="15" t="s">
        <v>10</v>
      </c>
    </row>
    <row r="15" spans="1:1">
      <c r="A15" s="15" t="s">
        <v>11</v>
      </c>
    </row>
    <row r="16" spans="1:1">
      <c r="A16" s="12"/>
    </row>
    <row r="17" spans="1:1">
      <c r="A17" s="13" t="s">
        <v>12</v>
      </c>
    </row>
    <row r="18" spans="1:1">
      <c r="A18" s="13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41592920354" defaultRowHeight="14.25" outlineLevelCol="2"/>
  <cols>
    <col min="1" max="1" width="8" customWidth="1"/>
    <col min="2" max="2" width="10" customWidth="1"/>
    <col min="3" max="3" width="16" customWidth="1"/>
  </cols>
  <sheetData>
    <row r="1" spans="1:3">
      <c r="A1" s="4" t="s">
        <v>14</v>
      </c>
      <c r="B1" s="4" t="s">
        <v>15</v>
      </c>
      <c r="C1" s="4" t="s">
        <v>16</v>
      </c>
    </row>
    <row r="2" spans="1:3">
      <c r="A2" s="6">
        <v>1</v>
      </c>
      <c r="B2" s="7" t="s">
        <v>17</v>
      </c>
      <c r="C2" s="8">
        <v>-0.197</v>
      </c>
    </row>
    <row r="3" spans="1:3">
      <c r="A3" s="6">
        <v>2</v>
      </c>
      <c r="B3" s="7" t="s">
        <v>18</v>
      </c>
      <c r="C3" s="8">
        <v>-1.298</v>
      </c>
    </row>
    <row r="4" spans="1:3">
      <c r="A4" s="6">
        <v>3</v>
      </c>
      <c r="B4" s="7" t="s">
        <v>19</v>
      </c>
      <c r="C4" s="8">
        <v>-0.536</v>
      </c>
    </row>
    <row r="5" spans="1:3">
      <c r="A5" s="6">
        <v>4</v>
      </c>
      <c r="B5" s="7" t="s">
        <v>20</v>
      </c>
      <c r="C5" s="8">
        <v>-0.608</v>
      </c>
    </row>
    <row r="6" spans="1:3">
      <c r="A6" s="6">
        <v>5</v>
      </c>
      <c r="B6" s="7" t="s">
        <v>21</v>
      </c>
      <c r="C6" s="8">
        <v>0.237</v>
      </c>
    </row>
    <row r="7" spans="1:3">
      <c r="A7" s="6">
        <v>6</v>
      </c>
      <c r="B7" s="7" t="s">
        <v>22</v>
      </c>
      <c r="C7" s="8">
        <v>-0.109</v>
      </c>
    </row>
    <row r="8" spans="1:3">
      <c r="A8" s="6">
        <v>7</v>
      </c>
      <c r="B8" s="7" t="s">
        <v>23</v>
      </c>
      <c r="C8" s="8">
        <v>-0.211</v>
      </c>
    </row>
    <row r="9" spans="1:3">
      <c r="A9" s="6">
        <v>8</v>
      </c>
      <c r="B9" s="7" t="s">
        <v>17</v>
      </c>
      <c r="C9" s="8">
        <v>0.434</v>
      </c>
    </row>
    <row r="10" spans="1:3">
      <c r="A10" s="6">
        <v>9</v>
      </c>
      <c r="B10" s="7" t="s">
        <v>18</v>
      </c>
      <c r="C10" s="8">
        <v>1.236</v>
      </c>
    </row>
    <row r="11" spans="1:3">
      <c r="A11" s="6">
        <v>10</v>
      </c>
      <c r="B11" s="7" t="s">
        <v>19</v>
      </c>
      <c r="C11" s="8">
        <v>2.5</v>
      </c>
    </row>
    <row r="12" spans="1:3">
      <c r="A12" s="6">
        <v>11</v>
      </c>
      <c r="B12" s="7" t="s">
        <v>20</v>
      </c>
      <c r="C12" s="8">
        <v>-0.222</v>
      </c>
    </row>
    <row r="13" spans="1:3">
      <c r="A13" s="6">
        <v>12</v>
      </c>
      <c r="B13" s="7" t="s">
        <v>21</v>
      </c>
      <c r="C13" s="8">
        <v>-0.666</v>
      </c>
    </row>
    <row r="14" spans="1:3">
      <c r="A14" s="6">
        <v>13</v>
      </c>
      <c r="B14" s="7" t="s">
        <v>22</v>
      </c>
      <c r="C14" s="8">
        <v>-0.895</v>
      </c>
    </row>
    <row r="15" spans="1:3">
      <c r="A15" s="6">
        <v>14</v>
      </c>
      <c r="B15" s="7" t="s">
        <v>23</v>
      </c>
      <c r="C15" s="8">
        <v>-0.433</v>
      </c>
    </row>
    <row r="16" spans="1:3">
      <c r="A16" s="6">
        <v>15</v>
      </c>
      <c r="B16" s="7" t="s">
        <v>17</v>
      </c>
      <c r="C16" s="8">
        <v>-0.385</v>
      </c>
    </row>
    <row r="17" spans="1:3">
      <c r="A17" s="6">
        <v>16</v>
      </c>
      <c r="B17" s="7" t="s">
        <v>18</v>
      </c>
      <c r="C17" s="8">
        <v>2.066</v>
      </c>
    </row>
    <row r="18" spans="1:3">
      <c r="A18" s="6">
        <v>17</v>
      </c>
      <c r="B18" s="7" t="s">
        <v>19</v>
      </c>
      <c r="C18" s="8">
        <v>1.508</v>
      </c>
    </row>
    <row r="19" spans="1:3">
      <c r="A19" s="6">
        <v>18</v>
      </c>
      <c r="B19" s="7" t="s">
        <v>20</v>
      </c>
      <c r="C19" s="8">
        <v>2.307</v>
      </c>
    </row>
    <row r="20" spans="1:3">
      <c r="A20" s="6">
        <v>19</v>
      </c>
      <c r="B20" s="7" t="s">
        <v>21</v>
      </c>
      <c r="C20" s="8">
        <v>2.5</v>
      </c>
    </row>
    <row r="21" spans="1:3">
      <c r="A21" s="6">
        <v>20</v>
      </c>
      <c r="B21" s="7" t="s">
        <v>22</v>
      </c>
      <c r="C21" s="8">
        <v>0.721</v>
      </c>
    </row>
    <row r="22" spans="1:3">
      <c r="A22" s="6">
        <v>21</v>
      </c>
      <c r="B22" s="7" t="s">
        <v>23</v>
      </c>
      <c r="C22" s="8">
        <v>-0.361</v>
      </c>
    </row>
    <row r="23" spans="1:3">
      <c r="A23" s="6">
        <v>22</v>
      </c>
      <c r="B23" s="7" t="s">
        <v>17</v>
      </c>
      <c r="C23" s="8">
        <v>-0.428</v>
      </c>
    </row>
    <row r="24" spans="1:3">
      <c r="A24" s="6">
        <v>23</v>
      </c>
      <c r="B24" s="7" t="s">
        <v>18</v>
      </c>
      <c r="C24" s="8">
        <v>-0.757</v>
      </c>
    </row>
    <row r="25" spans="1:3">
      <c r="A25" s="6">
        <v>24</v>
      </c>
      <c r="B25" s="7" t="s">
        <v>19</v>
      </c>
      <c r="C25" s="8">
        <v>0.653</v>
      </c>
    </row>
    <row r="26" spans="1:3">
      <c r="A26" s="6">
        <v>25</v>
      </c>
      <c r="B26" s="7" t="s">
        <v>20</v>
      </c>
      <c r="C26" s="8">
        <v>0.124</v>
      </c>
    </row>
    <row r="27" spans="1:3">
      <c r="A27" s="6">
        <v>26</v>
      </c>
      <c r="B27" s="7" t="s">
        <v>21</v>
      </c>
      <c r="C27" s="8">
        <v>-1.206</v>
      </c>
    </row>
    <row r="28" spans="1:3">
      <c r="A28" s="6">
        <v>27</v>
      </c>
      <c r="B28" s="7" t="s">
        <v>22</v>
      </c>
      <c r="C28" s="8">
        <v>-0.73</v>
      </c>
    </row>
    <row r="29" spans="1:3">
      <c r="A29" s="6">
        <v>28</v>
      </c>
      <c r="B29" s="7" t="s">
        <v>23</v>
      </c>
      <c r="C29" s="8">
        <v>-1.429</v>
      </c>
    </row>
    <row r="30" spans="1:3">
      <c r="A30" s="6">
        <v>29</v>
      </c>
      <c r="B30" s="7" t="s">
        <v>17</v>
      </c>
      <c r="C30" s="8">
        <v>-0.905</v>
      </c>
    </row>
    <row r="31" spans="1:3">
      <c r="A31" s="6">
        <v>30</v>
      </c>
      <c r="B31" s="7" t="s">
        <v>18</v>
      </c>
      <c r="C31" s="8">
        <v>-0.444</v>
      </c>
    </row>
    <row r="32" spans="1:3">
      <c r="A32" s="6">
        <v>31</v>
      </c>
      <c r="B32" s="7" t="s">
        <v>19</v>
      </c>
      <c r="C32" s="8">
        <v>-1.255</v>
      </c>
    </row>
    <row r="33" spans="1:3">
      <c r="A33" s="6">
        <v>32</v>
      </c>
      <c r="B33" s="7" t="s">
        <v>20</v>
      </c>
      <c r="C33" s="8">
        <v>-1.04</v>
      </c>
    </row>
    <row r="34" spans="1:3">
      <c r="A34" s="6">
        <v>33</v>
      </c>
      <c r="B34" s="7" t="s">
        <v>21</v>
      </c>
      <c r="C34" s="8">
        <v>-1.566</v>
      </c>
    </row>
    <row r="35" spans="1:3">
      <c r="A35" s="6">
        <v>34</v>
      </c>
      <c r="B35" s="7" t="s">
        <v>22</v>
      </c>
      <c r="C35" s="8">
        <v>-1.402</v>
      </c>
    </row>
    <row r="36" spans="1:3">
      <c r="A36" s="6">
        <v>35</v>
      </c>
      <c r="B36" s="7" t="s">
        <v>23</v>
      </c>
      <c r="C36" s="8">
        <v>0.271</v>
      </c>
    </row>
    <row r="37" spans="1:3">
      <c r="A37" s="6">
        <v>36</v>
      </c>
      <c r="B37" s="7" t="s">
        <v>17</v>
      </c>
      <c r="C37" s="8">
        <v>1.042</v>
      </c>
    </row>
    <row r="38" spans="1:3">
      <c r="A38" s="6">
        <v>37</v>
      </c>
      <c r="B38" s="7" t="s">
        <v>18</v>
      </c>
      <c r="C38" s="8">
        <v>0.008</v>
      </c>
    </row>
    <row r="39" spans="1:3">
      <c r="A39" s="6">
        <v>38</v>
      </c>
      <c r="B39" s="7" t="s">
        <v>19</v>
      </c>
      <c r="C39" s="8">
        <v>0.947</v>
      </c>
    </row>
    <row r="40" spans="1:3">
      <c r="A40" s="6">
        <v>39</v>
      </c>
      <c r="B40" s="7" t="s">
        <v>20</v>
      </c>
      <c r="C40" s="8">
        <v>1.1</v>
      </c>
    </row>
    <row r="41" spans="1:3">
      <c r="A41" s="6">
        <v>40</v>
      </c>
      <c r="B41" s="7" t="s">
        <v>21</v>
      </c>
      <c r="C41" s="8">
        <v>0.056</v>
      </c>
    </row>
    <row r="42" spans="1:3">
      <c r="A42" s="6">
        <v>41</v>
      </c>
      <c r="B42" s="7" t="s">
        <v>22</v>
      </c>
      <c r="C42" s="8">
        <v>1.194</v>
      </c>
    </row>
    <row r="43" spans="1:3">
      <c r="A43" s="6">
        <v>42</v>
      </c>
      <c r="B43" s="7" t="s">
        <v>23</v>
      </c>
      <c r="C43" s="8">
        <v>1.504</v>
      </c>
    </row>
    <row r="44" spans="1:3">
      <c r="A44" s="6">
        <v>43</v>
      </c>
      <c r="B44" s="7" t="s">
        <v>17</v>
      </c>
      <c r="C44" s="8">
        <v>1.574</v>
      </c>
    </row>
    <row r="45" spans="1:3">
      <c r="A45" s="6">
        <v>44</v>
      </c>
      <c r="B45" s="7" t="s">
        <v>18</v>
      </c>
      <c r="C45" s="8">
        <v>0.248</v>
      </c>
    </row>
    <row r="46" spans="1:3">
      <c r="A46" s="6">
        <v>45</v>
      </c>
      <c r="B46" s="7" t="s">
        <v>19</v>
      </c>
      <c r="C46" s="8">
        <v>0.031</v>
      </c>
    </row>
    <row r="47" spans="1:3">
      <c r="A47" s="6">
        <v>46</v>
      </c>
      <c r="B47" s="7" t="s">
        <v>20</v>
      </c>
      <c r="C47" s="8">
        <v>-0.601</v>
      </c>
    </row>
    <row r="48" spans="1:3">
      <c r="A48" s="6">
        <v>47</v>
      </c>
      <c r="B48" s="7" t="s">
        <v>21</v>
      </c>
      <c r="C48" s="8">
        <v>-1.591</v>
      </c>
    </row>
    <row r="49" spans="1:3">
      <c r="A49" s="6">
        <v>48</v>
      </c>
      <c r="B49" s="7" t="s">
        <v>22</v>
      </c>
      <c r="C49" s="8">
        <v>-1.105</v>
      </c>
    </row>
    <row r="50" spans="1:3">
      <c r="A50" s="6">
        <v>49</v>
      </c>
      <c r="B50" s="7" t="s">
        <v>23</v>
      </c>
      <c r="C50" s="8">
        <v>-1.176</v>
      </c>
    </row>
    <row r="51" spans="1:3">
      <c r="A51" s="6">
        <v>50</v>
      </c>
      <c r="B51" s="7" t="s">
        <v>17</v>
      </c>
      <c r="C51" s="8">
        <v>-0.371</v>
      </c>
    </row>
    <row r="52" spans="1:3">
      <c r="A52" s="6">
        <v>51</v>
      </c>
      <c r="B52" s="7" t="s">
        <v>18</v>
      </c>
      <c r="C52" s="8">
        <v>1.458</v>
      </c>
    </row>
    <row r="53" spans="1:3">
      <c r="A53" s="6">
        <v>52</v>
      </c>
      <c r="B53" s="7" t="s">
        <v>19</v>
      </c>
      <c r="C53" s="8">
        <v>1.594</v>
      </c>
    </row>
    <row r="54" spans="1:3">
      <c r="A54" s="6">
        <v>53</v>
      </c>
      <c r="B54" s="7" t="s">
        <v>20</v>
      </c>
      <c r="C54" s="8">
        <v>1.597</v>
      </c>
    </row>
    <row r="55" spans="1:3">
      <c r="A55" s="6">
        <v>54</v>
      </c>
      <c r="B55" s="7" t="s">
        <v>21</v>
      </c>
      <c r="C55" s="8">
        <v>1.263</v>
      </c>
    </row>
    <row r="56" spans="1:3">
      <c r="A56" s="6">
        <v>55</v>
      </c>
      <c r="B56" s="7" t="s">
        <v>22</v>
      </c>
      <c r="C56" s="8">
        <v>1.894</v>
      </c>
    </row>
    <row r="57" spans="1:3">
      <c r="A57" s="6">
        <v>56</v>
      </c>
      <c r="B57" s="7" t="s">
        <v>23</v>
      </c>
      <c r="C57" s="8">
        <v>2.473</v>
      </c>
    </row>
    <row r="58" spans="1:3">
      <c r="A58" s="6">
        <v>57</v>
      </c>
      <c r="B58" s="7" t="s">
        <v>17</v>
      </c>
      <c r="C58" s="8">
        <v>0.533</v>
      </c>
    </row>
    <row r="59" spans="1:3">
      <c r="A59" s="6">
        <v>58</v>
      </c>
      <c r="B59" s="7" t="s">
        <v>18</v>
      </c>
      <c r="C59" s="8">
        <v>0.104</v>
      </c>
    </row>
    <row r="60" spans="1:3">
      <c r="A60" s="6">
        <v>59</v>
      </c>
      <c r="B60" s="7" t="s">
        <v>19</v>
      </c>
      <c r="C60" s="8">
        <v>0.577</v>
      </c>
    </row>
    <row r="61" spans="1:3">
      <c r="A61" s="6">
        <v>60</v>
      </c>
      <c r="B61" s="7" t="s">
        <v>20</v>
      </c>
      <c r="C61" s="8">
        <v>0.606</v>
      </c>
    </row>
    <row r="62" spans="1:3">
      <c r="A62" s="6">
        <v>61</v>
      </c>
      <c r="B62" s="7" t="s">
        <v>21</v>
      </c>
      <c r="C62" s="8">
        <v>-0.194</v>
      </c>
    </row>
    <row r="63" spans="1:3">
      <c r="A63" s="6">
        <v>62</v>
      </c>
      <c r="B63" s="7" t="s">
        <v>22</v>
      </c>
      <c r="C63" s="8">
        <v>0.262</v>
      </c>
    </row>
    <row r="64" spans="1:3">
      <c r="A64" s="6">
        <v>63</v>
      </c>
      <c r="B64" s="7" t="s">
        <v>23</v>
      </c>
      <c r="C64" s="8">
        <v>-0.471</v>
      </c>
    </row>
    <row r="65" spans="1:3">
      <c r="A65" s="6">
        <v>64</v>
      </c>
      <c r="B65" s="7" t="s">
        <v>17</v>
      </c>
      <c r="C65" s="8">
        <v>0.521</v>
      </c>
    </row>
    <row r="66" spans="1:3">
      <c r="A66" s="6">
        <v>65</v>
      </c>
      <c r="B66" s="7" t="s">
        <v>18</v>
      </c>
      <c r="C66" s="8">
        <v>-0.321</v>
      </c>
    </row>
    <row r="67" spans="1:3">
      <c r="A67" s="6">
        <v>66</v>
      </c>
      <c r="B67" s="7" t="s">
        <v>19</v>
      </c>
      <c r="C67" s="8">
        <v>-0.707</v>
      </c>
    </row>
    <row r="68" spans="1:3">
      <c r="A68" s="6">
        <v>67</v>
      </c>
      <c r="B68" s="7" t="s">
        <v>20</v>
      </c>
      <c r="C68" s="8">
        <v>0.346</v>
      </c>
    </row>
    <row r="69" spans="1:3">
      <c r="A69" s="6">
        <v>68</v>
      </c>
      <c r="B69" s="7" t="s">
        <v>21</v>
      </c>
      <c r="C69" s="8">
        <v>-0.724</v>
      </c>
    </row>
    <row r="70" spans="1:3">
      <c r="A70" s="6">
        <v>69</v>
      </c>
      <c r="B70" s="7" t="s">
        <v>22</v>
      </c>
      <c r="C70" s="8">
        <v>0.222</v>
      </c>
    </row>
    <row r="71" spans="1:3">
      <c r="A71" s="6">
        <v>70</v>
      </c>
      <c r="B71" s="7" t="s">
        <v>23</v>
      </c>
      <c r="C71" s="8">
        <v>0.21</v>
      </c>
    </row>
    <row r="72" spans="1:3">
      <c r="A72" s="6">
        <v>71</v>
      </c>
      <c r="B72" s="7" t="s">
        <v>17</v>
      </c>
      <c r="C72" s="8">
        <v>-0.575</v>
      </c>
    </row>
    <row r="73" spans="1:3">
      <c r="A73" s="6">
        <v>72</v>
      </c>
      <c r="B73" s="7" t="s">
        <v>18</v>
      </c>
      <c r="C73" s="8">
        <v>0.42</v>
      </c>
    </row>
    <row r="74" spans="1:3">
      <c r="A74" s="6">
        <v>73</v>
      </c>
      <c r="B74" s="7" t="s">
        <v>19</v>
      </c>
      <c r="C74" s="8">
        <v>1.565</v>
      </c>
    </row>
    <row r="75" spans="1:3">
      <c r="A75" s="6">
        <v>74</v>
      </c>
      <c r="B75" s="7" t="s">
        <v>20</v>
      </c>
      <c r="C75" s="8">
        <v>0.99</v>
      </c>
    </row>
    <row r="76" spans="1:3">
      <c r="A76" s="6">
        <v>75</v>
      </c>
      <c r="B76" s="7" t="s">
        <v>21</v>
      </c>
      <c r="C76" s="8">
        <v>1.802</v>
      </c>
    </row>
    <row r="77" spans="1:3">
      <c r="A77" s="6">
        <v>76</v>
      </c>
      <c r="B77" s="7" t="s">
        <v>22</v>
      </c>
      <c r="C77" s="8">
        <v>-0.525</v>
      </c>
    </row>
    <row r="78" spans="1:3">
      <c r="A78" s="6">
        <v>77</v>
      </c>
      <c r="B78" s="7" t="s">
        <v>23</v>
      </c>
      <c r="C78" s="8">
        <v>-1.003</v>
      </c>
    </row>
    <row r="79" spans="1:3">
      <c r="A79" s="6">
        <v>78</v>
      </c>
      <c r="B79" s="7" t="s">
        <v>17</v>
      </c>
      <c r="C79" s="8">
        <v>-0.644</v>
      </c>
    </row>
    <row r="80" spans="1:3">
      <c r="A80" s="6">
        <v>79</v>
      </c>
      <c r="B80" s="7" t="s">
        <v>18</v>
      </c>
      <c r="C80" s="8">
        <v>-0.303</v>
      </c>
    </row>
    <row r="81" spans="1:3">
      <c r="A81" s="6">
        <v>80</v>
      </c>
      <c r="B81" s="7" t="s">
        <v>19</v>
      </c>
      <c r="C81" s="8">
        <v>0.065</v>
      </c>
    </row>
    <row r="82" spans="1:3">
      <c r="A82" s="6">
        <v>81</v>
      </c>
      <c r="B82" s="7" t="s">
        <v>20</v>
      </c>
      <c r="C82" s="8">
        <v>-0.266</v>
      </c>
    </row>
    <row r="83" spans="1:3">
      <c r="A83" s="6">
        <v>82</v>
      </c>
      <c r="B83" s="7" t="s">
        <v>21</v>
      </c>
      <c r="C83" s="8">
        <v>0.05</v>
      </c>
    </row>
    <row r="84" spans="1:3">
      <c r="A84" s="6">
        <v>83</v>
      </c>
      <c r="B84" s="7" t="s">
        <v>22</v>
      </c>
      <c r="C84" s="8">
        <v>-1.763</v>
      </c>
    </row>
    <row r="85" spans="1:3">
      <c r="A85" s="6">
        <v>84</v>
      </c>
      <c r="B85" s="7" t="s">
        <v>23</v>
      </c>
      <c r="C85" s="8">
        <v>-0.671</v>
      </c>
    </row>
    <row r="86" spans="1:3">
      <c r="A86" s="6">
        <v>85</v>
      </c>
      <c r="B86" s="7" t="s">
        <v>17</v>
      </c>
      <c r="C86" s="8">
        <v>-0.015</v>
      </c>
    </row>
    <row r="87" spans="1:3">
      <c r="A87" s="6">
        <v>86</v>
      </c>
      <c r="B87" s="7" t="s">
        <v>18</v>
      </c>
      <c r="C87" s="8">
        <v>-0.48</v>
      </c>
    </row>
    <row r="88" spans="1:3">
      <c r="A88" s="6">
        <v>87</v>
      </c>
      <c r="B88" s="7" t="s">
        <v>19</v>
      </c>
      <c r="C88" s="8">
        <v>-0.505</v>
      </c>
    </row>
    <row r="89" spans="1:3">
      <c r="A89" s="6">
        <v>88</v>
      </c>
      <c r="B89" s="7" t="s">
        <v>20</v>
      </c>
      <c r="C89" s="8">
        <v>-0.484</v>
      </c>
    </row>
    <row r="90" spans="1:3">
      <c r="A90" s="6">
        <v>89</v>
      </c>
      <c r="B90" s="7" t="s">
        <v>21</v>
      </c>
      <c r="C90" s="8">
        <v>-1.461</v>
      </c>
    </row>
    <row r="91" spans="1:3">
      <c r="A91" s="6">
        <v>90</v>
      </c>
      <c r="B91" s="7" t="s">
        <v>22</v>
      </c>
      <c r="C91" s="8">
        <v>-0.656</v>
      </c>
    </row>
    <row r="92" spans="1:3">
      <c r="A92" s="6">
        <v>91</v>
      </c>
      <c r="B92" s="7" t="s">
        <v>23</v>
      </c>
      <c r="C92" s="8">
        <v>-1.82</v>
      </c>
    </row>
    <row r="93" spans="1:3">
      <c r="A93" s="6">
        <v>92</v>
      </c>
      <c r="B93" s="7" t="s">
        <v>17</v>
      </c>
      <c r="C93" s="8">
        <v>-0.113</v>
      </c>
    </row>
    <row r="94" spans="1:3">
      <c r="A94" s="6">
        <v>93</v>
      </c>
      <c r="B94" s="7" t="s">
        <v>18</v>
      </c>
      <c r="C94" s="8">
        <v>0.828</v>
      </c>
    </row>
    <row r="95" spans="1:3">
      <c r="A95" s="6">
        <v>94</v>
      </c>
      <c r="B95" s="7" t="s">
        <v>19</v>
      </c>
      <c r="C95" s="8">
        <v>0.034</v>
      </c>
    </row>
    <row r="96" spans="1:3">
      <c r="A96" s="6">
        <v>95</v>
      </c>
      <c r="B96" s="7" t="s">
        <v>20</v>
      </c>
      <c r="C96" s="8">
        <v>0.107</v>
      </c>
    </row>
    <row r="97" spans="1:3">
      <c r="A97" s="6">
        <v>96</v>
      </c>
      <c r="B97" s="7" t="s">
        <v>21</v>
      </c>
      <c r="C97" s="8">
        <v>-0.134</v>
      </c>
    </row>
    <row r="98" spans="1:3">
      <c r="A98" s="6">
        <v>97</v>
      </c>
      <c r="B98" s="7" t="s">
        <v>22</v>
      </c>
      <c r="C98" s="8">
        <v>0.293</v>
      </c>
    </row>
    <row r="99" spans="1:3">
      <c r="A99" s="6">
        <v>98</v>
      </c>
      <c r="B99" s="7" t="s">
        <v>23</v>
      </c>
      <c r="C99" s="8">
        <v>-0.354</v>
      </c>
    </row>
    <row r="100" spans="1:3">
      <c r="A100" s="6">
        <v>99</v>
      </c>
      <c r="B100" s="7" t="s">
        <v>17</v>
      </c>
      <c r="C100" s="8">
        <v>-1.959</v>
      </c>
    </row>
    <row r="101" spans="1:3">
      <c r="A101" s="6">
        <v>100</v>
      </c>
      <c r="B101" s="7" t="s">
        <v>18</v>
      </c>
      <c r="C101" s="8">
        <v>-0.405</v>
      </c>
    </row>
    <row r="102" spans="1:3">
      <c r="A102" s="6">
        <v>101</v>
      </c>
      <c r="B102" s="7" t="s">
        <v>19</v>
      </c>
      <c r="C102" s="8">
        <v>-0.359</v>
      </c>
    </row>
    <row r="103" spans="1:3">
      <c r="A103" s="6">
        <v>102</v>
      </c>
      <c r="B103" s="7" t="s">
        <v>20</v>
      </c>
      <c r="C103" s="8">
        <v>0.324</v>
      </c>
    </row>
    <row r="104" spans="1:3">
      <c r="A104" s="6">
        <v>103</v>
      </c>
      <c r="B104" s="7" t="s">
        <v>21</v>
      </c>
      <c r="C104" s="8">
        <v>0.293</v>
      </c>
    </row>
    <row r="105" spans="1:3">
      <c r="A105" s="6">
        <v>104</v>
      </c>
      <c r="B105" s="7" t="s">
        <v>22</v>
      </c>
      <c r="C105" s="8">
        <v>-0.102</v>
      </c>
    </row>
    <row r="106" spans="1:3">
      <c r="A106" s="6">
        <v>105</v>
      </c>
      <c r="B106" s="7" t="s">
        <v>23</v>
      </c>
      <c r="C106" s="8">
        <v>-0.764</v>
      </c>
    </row>
    <row r="107" spans="1:3">
      <c r="A107" s="6">
        <v>106</v>
      </c>
      <c r="B107" s="7" t="s">
        <v>17</v>
      </c>
      <c r="C107" s="8">
        <v>-0.986</v>
      </c>
    </row>
    <row r="108" spans="1:3">
      <c r="A108" s="6">
        <v>107</v>
      </c>
      <c r="B108" s="7" t="s">
        <v>18</v>
      </c>
      <c r="C108" s="8">
        <v>0.203</v>
      </c>
    </row>
    <row r="109" spans="1:3">
      <c r="A109" s="6">
        <v>108</v>
      </c>
      <c r="B109" s="7" t="s">
        <v>19</v>
      </c>
      <c r="C109" s="8">
        <v>0.183</v>
      </c>
    </row>
    <row r="110" spans="1:3">
      <c r="A110" s="6">
        <v>109</v>
      </c>
      <c r="B110" s="7" t="s">
        <v>20</v>
      </c>
      <c r="C110" s="8">
        <v>-0.449</v>
      </c>
    </row>
    <row r="111" spans="1:3">
      <c r="A111" s="6">
        <v>110</v>
      </c>
      <c r="B111" s="7" t="s">
        <v>21</v>
      </c>
      <c r="C111" s="8">
        <v>0.327</v>
      </c>
    </row>
    <row r="112" spans="1:3">
      <c r="A112" s="6">
        <v>111</v>
      </c>
      <c r="B112" s="7" t="s">
        <v>22</v>
      </c>
      <c r="C112" s="8">
        <v>0.938</v>
      </c>
    </row>
    <row r="113" spans="1:3">
      <c r="A113" s="6">
        <v>112</v>
      </c>
      <c r="B113" s="7" t="s">
        <v>23</v>
      </c>
      <c r="C113" s="8">
        <v>0.326</v>
      </c>
    </row>
    <row r="114" spans="1:3">
      <c r="A114" s="6">
        <v>113</v>
      </c>
      <c r="B114" s="7" t="s">
        <v>17</v>
      </c>
      <c r="C114" s="8">
        <v>1.65</v>
      </c>
    </row>
    <row r="115" spans="1:3">
      <c r="A115" s="6">
        <v>114</v>
      </c>
      <c r="B115" s="7" t="s">
        <v>18</v>
      </c>
      <c r="C115" s="8">
        <v>1.376</v>
      </c>
    </row>
    <row r="116" spans="1:3">
      <c r="A116" s="6">
        <v>115</v>
      </c>
      <c r="B116" s="7" t="s">
        <v>19</v>
      </c>
      <c r="C116" s="8">
        <v>1.885</v>
      </c>
    </row>
    <row r="117" spans="1:3">
      <c r="A117" s="6">
        <v>116</v>
      </c>
      <c r="B117" s="7" t="s">
        <v>20</v>
      </c>
      <c r="C117" s="8">
        <v>1.154</v>
      </c>
    </row>
    <row r="118" spans="1:3">
      <c r="A118" s="6">
        <v>117</v>
      </c>
      <c r="B118" s="7" t="s">
        <v>21</v>
      </c>
      <c r="C118" s="8">
        <v>1.53</v>
      </c>
    </row>
    <row r="119" spans="1:3">
      <c r="A119" s="6">
        <v>118</v>
      </c>
      <c r="B119" s="7" t="s">
        <v>22</v>
      </c>
      <c r="C119" s="8">
        <v>0.722</v>
      </c>
    </row>
    <row r="120" spans="1:3">
      <c r="A120" s="6">
        <v>119</v>
      </c>
      <c r="B120" s="7" t="s">
        <v>23</v>
      </c>
      <c r="C120" s="8">
        <v>0.831</v>
      </c>
    </row>
    <row r="121" spans="1:3">
      <c r="A121" s="6">
        <v>120</v>
      </c>
      <c r="B121" s="7" t="s">
        <v>17</v>
      </c>
      <c r="C121" s="8">
        <v>-0.182</v>
      </c>
    </row>
    <row r="122" spans="1:3">
      <c r="A122" s="6">
        <v>121</v>
      </c>
      <c r="B122" s="7" t="s">
        <v>18</v>
      </c>
      <c r="C122" s="8">
        <v>0.962</v>
      </c>
    </row>
    <row r="123" spans="1:3">
      <c r="A123" s="6">
        <v>122</v>
      </c>
      <c r="B123" s="7" t="s">
        <v>19</v>
      </c>
      <c r="C123" s="8">
        <v>-0.62</v>
      </c>
    </row>
    <row r="124" spans="1:3">
      <c r="A124" s="6">
        <v>123</v>
      </c>
      <c r="B124" s="7" t="s">
        <v>20</v>
      </c>
      <c r="C124" s="8">
        <v>-1.404</v>
      </c>
    </row>
    <row r="125" spans="1:3">
      <c r="A125" s="6">
        <v>124</v>
      </c>
      <c r="B125" s="7" t="s">
        <v>21</v>
      </c>
      <c r="C125" s="8">
        <v>0.782</v>
      </c>
    </row>
    <row r="126" spans="1:3">
      <c r="A126" s="6">
        <v>125</v>
      </c>
      <c r="B126" s="7" t="s">
        <v>22</v>
      </c>
      <c r="C126" s="8">
        <v>1.331</v>
      </c>
    </row>
    <row r="127" spans="1:3">
      <c r="A127" s="6">
        <v>126</v>
      </c>
      <c r="B127" s="7" t="s">
        <v>23</v>
      </c>
      <c r="C127" s="8">
        <v>0.035</v>
      </c>
    </row>
    <row r="128" spans="1:3">
      <c r="A128" s="6">
        <v>127</v>
      </c>
      <c r="B128" s="7" t="s">
        <v>17</v>
      </c>
      <c r="C128" s="8">
        <v>0.04</v>
      </c>
    </row>
    <row r="129" spans="1:3">
      <c r="A129" s="6">
        <v>128</v>
      </c>
      <c r="B129" s="7" t="s">
        <v>18</v>
      </c>
      <c r="C129" s="8">
        <v>0.402</v>
      </c>
    </row>
    <row r="130" spans="1:3">
      <c r="A130" s="6">
        <v>129</v>
      </c>
      <c r="B130" s="7" t="s">
        <v>19</v>
      </c>
      <c r="C130" s="8">
        <v>1.504</v>
      </c>
    </row>
    <row r="131" spans="1:3">
      <c r="A131" s="6">
        <v>130</v>
      </c>
      <c r="B131" s="7" t="s">
        <v>20</v>
      </c>
      <c r="C131" s="8">
        <v>0.953</v>
      </c>
    </row>
    <row r="132" spans="1:3">
      <c r="A132" s="6">
        <v>131</v>
      </c>
      <c r="B132" s="7" t="s">
        <v>21</v>
      </c>
      <c r="C132" s="8">
        <v>0.704</v>
      </c>
    </row>
    <row r="133" spans="1:3">
      <c r="A133" s="6">
        <v>132</v>
      </c>
      <c r="B133" s="7" t="s">
        <v>22</v>
      </c>
      <c r="C133" s="8">
        <v>1.66</v>
      </c>
    </row>
    <row r="134" spans="1:3">
      <c r="A134" s="6">
        <v>133</v>
      </c>
      <c r="B134" s="7" t="s">
        <v>23</v>
      </c>
      <c r="C134" s="8">
        <v>1.747</v>
      </c>
    </row>
    <row r="135" spans="1:3">
      <c r="A135" s="6">
        <v>134</v>
      </c>
      <c r="B135" s="7" t="s">
        <v>17</v>
      </c>
      <c r="C135" s="8">
        <v>1.043</v>
      </c>
    </row>
    <row r="136" spans="1:3">
      <c r="A136" s="6">
        <v>135</v>
      </c>
      <c r="B136" s="7" t="s">
        <v>18</v>
      </c>
      <c r="C136" s="8">
        <v>-0.223</v>
      </c>
    </row>
    <row r="137" spans="1:3">
      <c r="A137" s="6">
        <v>136</v>
      </c>
      <c r="B137" s="7" t="s">
        <v>19</v>
      </c>
      <c r="C137" s="8">
        <v>-0.275</v>
      </c>
    </row>
    <row r="138" spans="1:3">
      <c r="A138" s="6">
        <v>137</v>
      </c>
      <c r="B138" s="7" t="s">
        <v>20</v>
      </c>
      <c r="C138" s="8">
        <v>0.547</v>
      </c>
    </row>
    <row r="139" spans="1:3">
      <c r="A139" s="6">
        <v>138</v>
      </c>
      <c r="B139" s="7" t="s">
        <v>21</v>
      </c>
      <c r="C139" s="8">
        <v>2.124</v>
      </c>
    </row>
    <row r="140" spans="1:3">
      <c r="A140" s="6">
        <v>139</v>
      </c>
      <c r="B140" s="7" t="s">
        <v>22</v>
      </c>
      <c r="C140" s="8">
        <v>0.791</v>
      </c>
    </row>
    <row r="141" spans="1:3">
      <c r="A141" s="6">
        <v>140</v>
      </c>
      <c r="B141" s="7" t="s">
        <v>23</v>
      </c>
      <c r="C141" s="8">
        <v>0.463</v>
      </c>
    </row>
    <row r="142" spans="1:3">
      <c r="A142" s="6">
        <v>141</v>
      </c>
      <c r="B142" s="7" t="s">
        <v>17</v>
      </c>
      <c r="C142" s="8">
        <v>0.695</v>
      </c>
    </row>
    <row r="143" spans="1:3">
      <c r="A143" s="6">
        <v>142</v>
      </c>
      <c r="B143" s="7" t="s">
        <v>18</v>
      </c>
      <c r="C143" s="8">
        <v>1.921</v>
      </c>
    </row>
    <row r="144" spans="1:3">
      <c r="A144" s="6">
        <v>143</v>
      </c>
      <c r="B144" s="7" t="s">
        <v>19</v>
      </c>
      <c r="C144" s="8">
        <v>2.157</v>
      </c>
    </row>
    <row r="145" spans="1:3">
      <c r="A145" s="6">
        <v>144</v>
      </c>
      <c r="B145" s="7" t="s">
        <v>20</v>
      </c>
      <c r="C145" s="8">
        <v>0.616</v>
      </c>
    </row>
    <row r="146" spans="1:3">
      <c r="A146" s="6">
        <v>145</v>
      </c>
      <c r="B146" s="7" t="s">
        <v>21</v>
      </c>
      <c r="C146" s="8">
        <v>0.662</v>
      </c>
    </row>
    <row r="147" spans="1:3">
      <c r="A147" s="6">
        <v>146</v>
      </c>
      <c r="B147" s="7" t="s">
        <v>22</v>
      </c>
      <c r="C147" s="8">
        <v>1.455</v>
      </c>
    </row>
    <row r="148" spans="1:3">
      <c r="A148" s="6">
        <v>147</v>
      </c>
      <c r="B148" s="7" t="s">
        <v>23</v>
      </c>
      <c r="C148" s="8">
        <v>-0.551</v>
      </c>
    </row>
    <row r="149" spans="1:3">
      <c r="A149" s="6">
        <v>148</v>
      </c>
      <c r="B149" s="7" t="s">
        <v>17</v>
      </c>
      <c r="C149" s="8">
        <v>1.142</v>
      </c>
    </row>
    <row r="150" spans="1:3">
      <c r="A150" s="6">
        <v>149</v>
      </c>
      <c r="B150" s="7" t="s">
        <v>18</v>
      </c>
      <c r="C150" s="8">
        <v>1.12</v>
      </c>
    </row>
    <row r="151" spans="1:3">
      <c r="A151" s="6">
        <v>150</v>
      </c>
      <c r="B151" s="7" t="s">
        <v>19</v>
      </c>
      <c r="C151" s="8">
        <v>0.583</v>
      </c>
    </row>
    <row r="152" spans="1:3">
      <c r="A152" s="6">
        <v>151</v>
      </c>
      <c r="B152" s="7" t="s">
        <v>20</v>
      </c>
      <c r="C152" s="8">
        <v>-0.144</v>
      </c>
    </row>
    <row r="153" spans="1:3">
      <c r="A153" s="6">
        <v>152</v>
      </c>
      <c r="B153" s="7" t="s">
        <v>21</v>
      </c>
      <c r="C153" s="8">
        <v>-0.178</v>
      </c>
    </row>
    <row r="154" spans="1:3">
      <c r="A154" s="6">
        <v>153</v>
      </c>
      <c r="B154" s="7" t="s">
        <v>22</v>
      </c>
      <c r="C154" s="8">
        <v>-0.59</v>
      </c>
    </row>
    <row r="155" spans="1:3">
      <c r="A155" s="6">
        <v>154</v>
      </c>
      <c r="B155" s="7" t="s">
        <v>23</v>
      </c>
      <c r="C155" s="8">
        <v>-0.528</v>
      </c>
    </row>
    <row r="156" spans="1:3">
      <c r="A156" s="6">
        <v>155</v>
      </c>
      <c r="B156" s="7" t="s">
        <v>17</v>
      </c>
      <c r="C156" s="8">
        <v>-0.651</v>
      </c>
    </row>
    <row r="157" spans="1:3">
      <c r="A157" s="6">
        <v>156</v>
      </c>
      <c r="B157" s="7" t="s">
        <v>18</v>
      </c>
      <c r="C157" s="8">
        <v>-0.867</v>
      </c>
    </row>
    <row r="158" spans="1:3">
      <c r="A158" s="6">
        <v>157</v>
      </c>
      <c r="B158" s="7" t="s">
        <v>19</v>
      </c>
      <c r="C158" s="8">
        <v>-0.071</v>
      </c>
    </row>
    <row r="159" spans="1:3">
      <c r="A159" s="6">
        <v>158</v>
      </c>
      <c r="B159" s="7" t="s">
        <v>20</v>
      </c>
      <c r="C159" s="8">
        <v>-0.869</v>
      </c>
    </row>
    <row r="160" spans="1:3">
      <c r="A160" s="6">
        <v>159</v>
      </c>
      <c r="B160" s="7" t="s">
        <v>21</v>
      </c>
      <c r="C160" s="8">
        <v>0.246</v>
      </c>
    </row>
    <row r="161" spans="1:3">
      <c r="A161" s="6">
        <v>160</v>
      </c>
      <c r="B161" s="7" t="s">
        <v>22</v>
      </c>
      <c r="C161" s="8">
        <v>-0.259</v>
      </c>
    </row>
    <row r="162" spans="1:3">
      <c r="A162" s="6">
        <v>161</v>
      </c>
      <c r="B162" s="7" t="s">
        <v>23</v>
      </c>
      <c r="C162" s="8">
        <v>-1.562</v>
      </c>
    </row>
    <row r="163" spans="1:3">
      <c r="A163" s="6">
        <v>162</v>
      </c>
      <c r="B163" s="7" t="s">
        <v>17</v>
      </c>
      <c r="C163" s="8">
        <v>-1.123</v>
      </c>
    </row>
    <row r="164" spans="1:3">
      <c r="A164" s="6">
        <v>163</v>
      </c>
      <c r="B164" s="7" t="s">
        <v>18</v>
      </c>
      <c r="C164" s="8">
        <v>-1.155</v>
      </c>
    </row>
    <row r="165" spans="1:3">
      <c r="A165" s="6">
        <v>164</v>
      </c>
      <c r="B165" s="7" t="s">
        <v>19</v>
      </c>
      <c r="C165" s="8">
        <v>0.788</v>
      </c>
    </row>
    <row r="166" spans="1:3">
      <c r="A166" s="6">
        <v>165</v>
      </c>
      <c r="B166" s="7" t="s">
        <v>20</v>
      </c>
      <c r="C166" s="8">
        <v>0.414</v>
      </c>
    </row>
    <row r="167" spans="1:3">
      <c r="A167" s="6">
        <v>166</v>
      </c>
      <c r="B167" s="7" t="s">
        <v>21</v>
      </c>
      <c r="C167" s="8">
        <v>0.506</v>
      </c>
    </row>
    <row r="168" spans="1:3">
      <c r="A168" s="6">
        <v>167</v>
      </c>
      <c r="B168" s="7" t="s">
        <v>22</v>
      </c>
      <c r="C168" s="8">
        <v>0.315</v>
      </c>
    </row>
    <row r="169" spans="1:3">
      <c r="A169" s="6">
        <v>168</v>
      </c>
      <c r="B169" s="7" t="s">
        <v>23</v>
      </c>
      <c r="C169" s="8">
        <v>-2.054</v>
      </c>
    </row>
    <row r="170" spans="1:3">
      <c r="A170" s="6">
        <v>169</v>
      </c>
      <c r="B170" s="7" t="s">
        <v>17</v>
      </c>
      <c r="C170" s="8">
        <v>-1.434</v>
      </c>
    </row>
    <row r="171" spans="1:3">
      <c r="A171" s="6">
        <v>170</v>
      </c>
      <c r="B171" s="7" t="s">
        <v>18</v>
      </c>
      <c r="C171" s="8">
        <v>-1.075</v>
      </c>
    </row>
    <row r="172" spans="1:3">
      <c r="A172" s="6">
        <v>171</v>
      </c>
      <c r="B172" s="7" t="s">
        <v>19</v>
      </c>
      <c r="C172" s="8">
        <v>-1.07</v>
      </c>
    </row>
    <row r="173" spans="1:3">
      <c r="A173" s="6">
        <v>172</v>
      </c>
      <c r="B173" s="7" t="s">
        <v>20</v>
      </c>
      <c r="C173" s="8">
        <v>-0.982</v>
      </c>
    </row>
    <row r="174" spans="1:3">
      <c r="A174" s="6">
        <v>173</v>
      </c>
      <c r="B174" s="7" t="s">
        <v>21</v>
      </c>
      <c r="C174" s="8">
        <v>0.511</v>
      </c>
    </row>
    <row r="175" spans="1:3">
      <c r="A175" s="6">
        <v>174</v>
      </c>
      <c r="B175" s="7" t="s">
        <v>22</v>
      </c>
      <c r="C175" s="8">
        <v>1.35</v>
      </c>
    </row>
    <row r="176" spans="1:3">
      <c r="A176" s="6">
        <v>175</v>
      </c>
      <c r="B176" s="7" t="s">
        <v>23</v>
      </c>
      <c r="C176" s="8">
        <v>0.543</v>
      </c>
    </row>
    <row r="177" spans="1:3">
      <c r="A177" s="6">
        <v>176</v>
      </c>
      <c r="B177" s="7" t="s">
        <v>17</v>
      </c>
      <c r="C177" s="8">
        <v>-0.537</v>
      </c>
    </row>
    <row r="178" spans="1:3">
      <c r="A178" s="6">
        <v>177</v>
      </c>
      <c r="B178" s="7" t="s">
        <v>18</v>
      </c>
      <c r="C178" s="8">
        <v>-0.944</v>
      </c>
    </row>
    <row r="179" spans="1:3">
      <c r="A179" s="6">
        <v>178</v>
      </c>
      <c r="B179" s="7" t="s">
        <v>19</v>
      </c>
      <c r="C179" s="8">
        <v>-0.817</v>
      </c>
    </row>
    <row r="180" spans="1:3">
      <c r="A180" s="6">
        <v>179</v>
      </c>
      <c r="B180" s="7" t="s">
        <v>20</v>
      </c>
      <c r="C180" s="8">
        <v>-0.903</v>
      </c>
    </row>
    <row r="181" spans="1:3">
      <c r="A181" s="6">
        <v>180</v>
      </c>
      <c r="B181" s="7" t="s">
        <v>21</v>
      </c>
      <c r="C181" s="8">
        <v>-1.136</v>
      </c>
    </row>
    <row r="182" spans="1:3">
      <c r="A182" s="6">
        <v>181</v>
      </c>
      <c r="B182" s="7" t="s">
        <v>22</v>
      </c>
      <c r="C182" s="8">
        <v>-0.768</v>
      </c>
    </row>
    <row r="183" spans="1:3">
      <c r="A183" s="6">
        <v>182</v>
      </c>
      <c r="B183" s="7" t="s">
        <v>23</v>
      </c>
      <c r="C183" s="8">
        <v>0.821</v>
      </c>
    </row>
    <row r="184" spans="1:3">
      <c r="A184" s="6">
        <v>183</v>
      </c>
      <c r="B184" s="7" t="s">
        <v>17</v>
      </c>
      <c r="C184" s="8">
        <v>0.707</v>
      </c>
    </row>
    <row r="185" spans="1:3">
      <c r="A185" s="6">
        <v>184</v>
      </c>
      <c r="B185" s="7" t="s">
        <v>18</v>
      </c>
      <c r="C185" s="8">
        <v>0.292</v>
      </c>
    </row>
    <row r="186" spans="1:3">
      <c r="A186" s="6">
        <v>185</v>
      </c>
      <c r="B186" s="7" t="s">
        <v>19</v>
      </c>
      <c r="C186" s="8">
        <v>0.322</v>
      </c>
    </row>
    <row r="187" spans="1:3">
      <c r="A187" s="6">
        <v>186</v>
      </c>
      <c r="B187" s="7" t="s">
        <v>20</v>
      </c>
      <c r="C187" s="8">
        <v>0.88</v>
      </c>
    </row>
    <row r="188" spans="1:3">
      <c r="A188" s="6">
        <v>187</v>
      </c>
      <c r="B188" s="7" t="s">
        <v>21</v>
      </c>
      <c r="C188" s="8">
        <v>0.547</v>
      </c>
    </row>
    <row r="189" spans="1:3">
      <c r="A189" s="6">
        <v>188</v>
      </c>
      <c r="B189" s="7" t="s">
        <v>22</v>
      </c>
      <c r="C189" s="8">
        <v>-0.415</v>
      </c>
    </row>
    <row r="190" spans="1:3">
      <c r="A190" s="6">
        <v>189</v>
      </c>
      <c r="B190" s="7" t="s">
        <v>23</v>
      </c>
      <c r="C190" s="8">
        <v>-0.232</v>
      </c>
    </row>
    <row r="191" spans="1:3">
      <c r="A191" s="6">
        <v>190</v>
      </c>
      <c r="B191" s="7" t="s">
        <v>17</v>
      </c>
      <c r="C191" s="8">
        <v>-0.374</v>
      </c>
    </row>
    <row r="192" spans="1:3">
      <c r="A192" s="6">
        <v>191</v>
      </c>
      <c r="B192" s="7" t="s">
        <v>18</v>
      </c>
      <c r="C192" s="8">
        <v>0.268</v>
      </c>
    </row>
    <row r="193" spans="1:3">
      <c r="A193" s="6">
        <v>192</v>
      </c>
      <c r="B193" s="7" t="s">
        <v>19</v>
      </c>
      <c r="C193" s="8">
        <v>-1.16</v>
      </c>
    </row>
    <row r="194" spans="1:3">
      <c r="A194" s="6">
        <v>193</v>
      </c>
      <c r="B194" s="7" t="s">
        <v>20</v>
      </c>
      <c r="C194" s="8">
        <v>-0.951</v>
      </c>
    </row>
    <row r="195" spans="1:3">
      <c r="A195" s="6">
        <v>194</v>
      </c>
      <c r="B195" s="7" t="s">
        <v>21</v>
      </c>
      <c r="C195" s="8">
        <v>-1.256</v>
      </c>
    </row>
    <row r="196" spans="1:3">
      <c r="A196" s="6">
        <v>195</v>
      </c>
      <c r="B196" s="7" t="s">
        <v>22</v>
      </c>
      <c r="C196" s="8">
        <v>-1.718</v>
      </c>
    </row>
    <row r="197" spans="1:3">
      <c r="A197" s="6">
        <v>196</v>
      </c>
      <c r="B197" s="7" t="s">
        <v>23</v>
      </c>
      <c r="C197" s="8">
        <v>-1.016</v>
      </c>
    </row>
    <row r="198" spans="1:3">
      <c r="A198" s="6">
        <v>197</v>
      </c>
      <c r="B198" s="7" t="s">
        <v>17</v>
      </c>
      <c r="C198" s="8">
        <v>-0.204</v>
      </c>
    </row>
    <row r="199" spans="1:3">
      <c r="A199" s="6">
        <v>198</v>
      </c>
      <c r="B199" s="7" t="s">
        <v>18</v>
      </c>
      <c r="C199" s="8">
        <v>-0.363</v>
      </c>
    </row>
    <row r="200" spans="1:3">
      <c r="A200" s="6">
        <v>199</v>
      </c>
      <c r="B200" s="7" t="s">
        <v>19</v>
      </c>
      <c r="C200" s="8">
        <v>-0.578</v>
      </c>
    </row>
    <row r="201" spans="1:3">
      <c r="A201" s="6">
        <v>200</v>
      </c>
      <c r="B201" s="7" t="s">
        <v>20</v>
      </c>
      <c r="C201" s="8">
        <v>-1.18</v>
      </c>
    </row>
    <row r="202" spans="1:3">
      <c r="A202" s="6">
        <v>201</v>
      </c>
      <c r="B202" s="7" t="s">
        <v>21</v>
      </c>
      <c r="C202" s="8">
        <v>-0.03</v>
      </c>
    </row>
    <row r="203" spans="1:3">
      <c r="A203" s="6">
        <v>202</v>
      </c>
      <c r="B203" s="7" t="s">
        <v>22</v>
      </c>
      <c r="C203" s="8">
        <v>-0.601</v>
      </c>
    </row>
    <row r="204" spans="1:3">
      <c r="A204" s="6">
        <v>203</v>
      </c>
      <c r="B204" s="7" t="s">
        <v>23</v>
      </c>
      <c r="C204" s="8">
        <v>-0.188</v>
      </c>
    </row>
    <row r="205" spans="1:3">
      <c r="A205" s="6">
        <v>204</v>
      </c>
      <c r="B205" s="7" t="s">
        <v>17</v>
      </c>
      <c r="C205" s="8">
        <v>0.172</v>
      </c>
    </row>
    <row r="206" spans="1:3">
      <c r="A206" s="6">
        <v>205</v>
      </c>
      <c r="B206" s="7" t="s">
        <v>18</v>
      </c>
      <c r="C206" s="8">
        <v>0.691</v>
      </c>
    </row>
    <row r="207" spans="1:3">
      <c r="A207" s="6">
        <v>206</v>
      </c>
      <c r="B207" s="7" t="s">
        <v>19</v>
      </c>
      <c r="C207" s="8">
        <v>0.756</v>
      </c>
    </row>
    <row r="208" spans="1:3">
      <c r="A208" s="6">
        <v>207</v>
      </c>
      <c r="B208" s="7" t="s">
        <v>20</v>
      </c>
      <c r="C208" s="8">
        <v>-0.382</v>
      </c>
    </row>
    <row r="209" spans="1:3">
      <c r="A209" s="6">
        <v>208</v>
      </c>
      <c r="B209" s="7" t="s">
        <v>21</v>
      </c>
      <c r="C209" s="8">
        <v>0.318</v>
      </c>
    </row>
    <row r="210" spans="1:3">
      <c r="A210" s="6">
        <v>209</v>
      </c>
      <c r="B210" s="7" t="s">
        <v>22</v>
      </c>
      <c r="C210" s="8">
        <v>1.075</v>
      </c>
    </row>
    <row r="211" spans="1:3">
      <c r="A211" s="6">
        <v>210</v>
      </c>
      <c r="B211" s="7" t="s">
        <v>23</v>
      </c>
      <c r="C211" s="8">
        <v>0.989</v>
      </c>
    </row>
    <row r="212" spans="1:3">
      <c r="A212" s="6">
        <v>211</v>
      </c>
      <c r="B212" s="7" t="s">
        <v>17</v>
      </c>
      <c r="C212" s="8">
        <v>0.789</v>
      </c>
    </row>
    <row r="213" spans="1:3">
      <c r="A213" s="6">
        <v>212</v>
      </c>
      <c r="B213" s="7" t="s">
        <v>18</v>
      </c>
      <c r="C213" s="8">
        <v>-0.213</v>
      </c>
    </row>
    <row r="214" spans="1:3">
      <c r="A214" s="6">
        <v>213</v>
      </c>
      <c r="B214" s="7" t="s">
        <v>19</v>
      </c>
      <c r="C214" s="8">
        <v>0.289</v>
      </c>
    </row>
    <row r="215" spans="1:3">
      <c r="A215" s="6">
        <v>214</v>
      </c>
      <c r="B215" s="7" t="s">
        <v>20</v>
      </c>
      <c r="C215" s="8">
        <v>0.748</v>
      </c>
    </row>
    <row r="216" spans="1:3">
      <c r="A216" s="6">
        <v>215</v>
      </c>
      <c r="B216" s="7" t="s">
        <v>21</v>
      </c>
      <c r="C216" s="8">
        <v>0.92</v>
      </c>
    </row>
    <row r="217" spans="1:3">
      <c r="A217" s="6">
        <v>216</v>
      </c>
      <c r="B217" s="7" t="s">
        <v>22</v>
      </c>
      <c r="C217" s="8">
        <v>0.98</v>
      </c>
    </row>
    <row r="218" spans="1:3">
      <c r="A218" s="6">
        <v>217</v>
      </c>
      <c r="B218" s="7" t="s">
        <v>23</v>
      </c>
      <c r="C218" s="8">
        <v>1.033</v>
      </c>
    </row>
    <row r="219" spans="1:3">
      <c r="A219" s="6">
        <v>218</v>
      </c>
      <c r="B219" s="7" t="s">
        <v>17</v>
      </c>
      <c r="C219" s="8">
        <v>-0.212</v>
      </c>
    </row>
    <row r="220" spans="1:3">
      <c r="A220" s="6">
        <v>219</v>
      </c>
      <c r="B220" s="7" t="s">
        <v>18</v>
      </c>
      <c r="C220" s="8">
        <v>-0.271</v>
      </c>
    </row>
    <row r="221" spans="1:3">
      <c r="A221" s="6">
        <v>220</v>
      </c>
      <c r="B221" s="7" t="s">
        <v>19</v>
      </c>
      <c r="C221" s="8">
        <v>-1.66</v>
      </c>
    </row>
    <row r="222" spans="1:3">
      <c r="A222" s="6">
        <v>221</v>
      </c>
      <c r="B222" s="7" t="s">
        <v>20</v>
      </c>
      <c r="C222" s="8">
        <v>-1.703</v>
      </c>
    </row>
    <row r="223" spans="1:3">
      <c r="A223" s="6">
        <v>222</v>
      </c>
      <c r="B223" s="7" t="s">
        <v>21</v>
      </c>
      <c r="C223" s="8">
        <v>-0.692</v>
      </c>
    </row>
    <row r="224" spans="1:3">
      <c r="A224" s="6">
        <v>223</v>
      </c>
      <c r="B224" s="7" t="s">
        <v>22</v>
      </c>
      <c r="C224" s="8">
        <v>-0.939</v>
      </c>
    </row>
    <row r="225" spans="1:3">
      <c r="A225" s="6">
        <v>224</v>
      </c>
      <c r="B225" s="7" t="s">
        <v>23</v>
      </c>
      <c r="C225" s="8">
        <v>-0.5</v>
      </c>
    </row>
    <row r="226" spans="1:3">
      <c r="A226" s="6">
        <v>225</v>
      </c>
      <c r="B226" s="7" t="s">
        <v>17</v>
      </c>
      <c r="C226" s="8">
        <v>-1.144</v>
      </c>
    </row>
    <row r="227" spans="1:3">
      <c r="A227" s="6">
        <v>226</v>
      </c>
      <c r="B227" s="7" t="s">
        <v>18</v>
      </c>
      <c r="C227" s="8">
        <v>-2.5</v>
      </c>
    </row>
    <row r="228" spans="1:3">
      <c r="A228" s="6">
        <v>227</v>
      </c>
      <c r="B228" s="7" t="s">
        <v>19</v>
      </c>
      <c r="C228" s="8">
        <v>-0.791</v>
      </c>
    </row>
    <row r="229" spans="1:3">
      <c r="A229" s="6">
        <v>228</v>
      </c>
      <c r="B229" s="7" t="s">
        <v>20</v>
      </c>
      <c r="C229" s="8">
        <v>-1.469</v>
      </c>
    </row>
    <row r="230" spans="1:3">
      <c r="A230" s="6">
        <v>229</v>
      </c>
      <c r="B230" s="7" t="s">
        <v>21</v>
      </c>
      <c r="C230" s="8">
        <v>0.498</v>
      </c>
    </row>
    <row r="231" spans="1:3">
      <c r="A231" s="6">
        <v>230</v>
      </c>
      <c r="B231" s="7" t="s">
        <v>22</v>
      </c>
      <c r="C231" s="8">
        <v>-0.553</v>
      </c>
    </row>
    <row r="232" spans="1:3">
      <c r="A232" s="6">
        <v>231</v>
      </c>
      <c r="B232" s="7" t="s">
        <v>23</v>
      </c>
      <c r="C232" s="8">
        <v>-0.949</v>
      </c>
    </row>
    <row r="233" spans="1:3">
      <c r="A233" s="6">
        <v>232</v>
      </c>
      <c r="B233" s="7" t="s">
        <v>17</v>
      </c>
      <c r="C233" s="8">
        <v>-1.646</v>
      </c>
    </row>
    <row r="234" spans="1:3">
      <c r="A234" s="6">
        <v>233</v>
      </c>
      <c r="B234" s="7" t="s">
        <v>18</v>
      </c>
      <c r="C234" s="8">
        <v>0.004</v>
      </c>
    </row>
    <row r="235" spans="1:3">
      <c r="A235" s="6">
        <v>234</v>
      </c>
      <c r="B235" s="7" t="s">
        <v>19</v>
      </c>
      <c r="C235" s="8">
        <v>-0.178</v>
      </c>
    </row>
    <row r="236" spans="1:3">
      <c r="A236" s="6">
        <v>235</v>
      </c>
      <c r="B236" s="7" t="s">
        <v>20</v>
      </c>
      <c r="C236" s="8">
        <v>-0.399</v>
      </c>
    </row>
    <row r="237" spans="1:3">
      <c r="A237" s="6">
        <v>236</v>
      </c>
      <c r="B237" s="7" t="s">
        <v>21</v>
      </c>
      <c r="C237" s="8">
        <v>-1.403</v>
      </c>
    </row>
    <row r="238" spans="1:3">
      <c r="A238" s="6">
        <v>237</v>
      </c>
      <c r="B238" s="7" t="s">
        <v>22</v>
      </c>
      <c r="C238" s="8">
        <v>-1.629</v>
      </c>
    </row>
    <row r="239" spans="1:3">
      <c r="A239" s="6">
        <v>238</v>
      </c>
      <c r="B239" s="7" t="s">
        <v>23</v>
      </c>
      <c r="C239" s="8">
        <v>0.157</v>
      </c>
    </row>
    <row r="240" spans="1:3">
      <c r="A240" s="6">
        <v>239</v>
      </c>
      <c r="B240" s="7" t="s">
        <v>17</v>
      </c>
      <c r="C240" s="8">
        <v>0.458</v>
      </c>
    </row>
    <row r="241" spans="1:3">
      <c r="A241" s="6">
        <v>240</v>
      </c>
      <c r="B241" s="7" t="s">
        <v>18</v>
      </c>
      <c r="C241" s="8">
        <v>1.832</v>
      </c>
    </row>
    <row r="242" spans="1:3">
      <c r="A242" s="6">
        <v>241</v>
      </c>
      <c r="B242" s="7" t="s">
        <v>19</v>
      </c>
      <c r="C242" s="8">
        <v>0.413</v>
      </c>
    </row>
    <row r="243" spans="1:3">
      <c r="A243" s="6">
        <v>242</v>
      </c>
      <c r="B243" s="7" t="s">
        <v>20</v>
      </c>
      <c r="C243" s="8">
        <v>-0.553</v>
      </c>
    </row>
    <row r="244" spans="1:3">
      <c r="A244" s="6">
        <v>243</v>
      </c>
      <c r="B244" s="7" t="s">
        <v>21</v>
      </c>
      <c r="C244" s="8">
        <v>-0.64</v>
      </c>
    </row>
    <row r="245" spans="1:3">
      <c r="A245" s="6">
        <v>244</v>
      </c>
      <c r="B245" s="7" t="s">
        <v>22</v>
      </c>
      <c r="C245" s="8">
        <v>0.54</v>
      </c>
    </row>
    <row r="246" spans="1:3">
      <c r="A246" s="6">
        <v>245</v>
      </c>
      <c r="B246" s="7" t="s">
        <v>23</v>
      </c>
      <c r="C246" s="8">
        <v>0.545</v>
      </c>
    </row>
    <row r="247" spans="1:3">
      <c r="A247" s="6">
        <v>246</v>
      </c>
      <c r="B247" s="7" t="s">
        <v>17</v>
      </c>
      <c r="C247" s="8">
        <v>1.11</v>
      </c>
    </row>
    <row r="248" spans="1:3">
      <c r="A248" s="6">
        <v>247</v>
      </c>
      <c r="B248" s="7" t="s">
        <v>18</v>
      </c>
      <c r="C248" s="8">
        <v>1.828</v>
      </c>
    </row>
    <row r="249" spans="1:3">
      <c r="A249" s="6">
        <v>248</v>
      </c>
      <c r="B249" s="7" t="s">
        <v>19</v>
      </c>
      <c r="C249" s="8">
        <v>1.609</v>
      </c>
    </row>
    <row r="250" spans="1:3">
      <c r="A250" s="6">
        <v>249</v>
      </c>
      <c r="B250" s="7" t="s">
        <v>20</v>
      </c>
      <c r="C250" s="8">
        <v>-1.088</v>
      </c>
    </row>
    <row r="251" spans="1:3">
      <c r="A251" s="6">
        <v>250</v>
      </c>
      <c r="B251" s="7" t="s">
        <v>21</v>
      </c>
      <c r="C251" s="8">
        <v>-0.478</v>
      </c>
    </row>
    <row r="252" spans="1:3">
      <c r="A252" s="6">
        <v>251</v>
      </c>
      <c r="B252" s="7" t="s">
        <v>22</v>
      </c>
      <c r="C252" s="8">
        <v>0.216</v>
      </c>
    </row>
    <row r="253" spans="1:3">
      <c r="A253" s="6">
        <v>252</v>
      </c>
      <c r="B253" s="7" t="s">
        <v>23</v>
      </c>
      <c r="C253" s="8">
        <v>-1.849</v>
      </c>
    </row>
    <row r="254" spans="1:3">
      <c r="A254" s="6">
        <v>253</v>
      </c>
      <c r="B254" s="7" t="s">
        <v>17</v>
      </c>
      <c r="C254" s="8">
        <v>-0.612</v>
      </c>
    </row>
    <row r="255" spans="1:3">
      <c r="A255" s="6">
        <v>254</v>
      </c>
      <c r="B255" s="7" t="s">
        <v>18</v>
      </c>
      <c r="C255" s="8">
        <v>0.004</v>
      </c>
    </row>
    <row r="256" spans="1:3">
      <c r="A256" s="6">
        <v>255</v>
      </c>
      <c r="B256" s="7" t="s">
        <v>19</v>
      </c>
      <c r="C256" s="8">
        <v>1.11</v>
      </c>
    </row>
    <row r="257" spans="1:3">
      <c r="A257" s="6">
        <v>256</v>
      </c>
      <c r="B257" s="7" t="s">
        <v>20</v>
      </c>
      <c r="C257" s="8">
        <v>1.663</v>
      </c>
    </row>
    <row r="258" spans="1:3">
      <c r="A258" s="6">
        <v>257</v>
      </c>
      <c r="B258" s="7" t="s">
        <v>21</v>
      </c>
      <c r="C258" s="8">
        <v>-0.005</v>
      </c>
    </row>
    <row r="259" spans="1:3">
      <c r="A259" s="6">
        <v>258</v>
      </c>
      <c r="B259" s="7" t="s">
        <v>22</v>
      </c>
      <c r="C259" s="8">
        <v>-0.661</v>
      </c>
    </row>
    <row r="260" spans="1:3">
      <c r="A260" s="6">
        <v>259</v>
      </c>
      <c r="B260" s="7" t="s">
        <v>23</v>
      </c>
      <c r="C260" s="8">
        <v>-0.968</v>
      </c>
    </row>
    <row r="261" spans="1:3">
      <c r="A261" s="6">
        <v>260</v>
      </c>
      <c r="B261" s="7" t="s">
        <v>17</v>
      </c>
      <c r="C261" s="8">
        <v>-0.725</v>
      </c>
    </row>
    <row r="262" spans="1:3">
      <c r="A262" s="6">
        <v>261</v>
      </c>
      <c r="B262" s="7" t="s">
        <v>18</v>
      </c>
      <c r="C262" s="8">
        <v>-0.844</v>
      </c>
    </row>
    <row r="263" spans="1:3">
      <c r="A263" s="6">
        <v>262</v>
      </c>
      <c r="B263" s="7" t="s">
        <v>19</v>
      </c>
      <c r="C263" s="8">
        <v>-1.47</v>
      </c>
    </row>
    <row r="264" spans="1:3">
      <c r="A264" s="6">
        <v>263</v>
      </c>
      <c r="B264" s="7" t="s">
        <v>20</v>
      </c>
      <c r="C264" s="8">
        <v>-2.146</v>
      </c>
    </row>
    <row r="265" spans="1:3">
      <c r="A265" s="6">
        <v>264</v>
      </c>
      <c r="B265" s="7" t="s">
        <v>21</v>
      </c>
      <c r="C265" s="8">
        <v>-2.305</v>
      </c>
    </row>
    <row r="266" spans="1:3">
      <c r="A266" s="6">
        <v>265</v>
      </c>
      <c r="B266" s="7" t="s">
        <v>22</v>
      </c>
      <c r="C266" s="8">
        <v>-0.884</v>
      </c>
    </row>
    <row r="267" spans="1:3">
      <c r="A267" s="6">
        <v>266</v>
      </c>
      <c r="B267" s="7" t="s">
        <v>23</v>
      </c>
      <c r="C267" s="8">
        <v>-0.117</v>
      </c>
    </row>
    <row r="268" spans="1:3">
      <c r="A268" s="6">
        <v>267</v>
      </c>
      <c r="B268" s="7" t="s">
        <v>17</v>
      </c>
      <c r="C268" s="8">
        <v>-0.117</v>
      </c>
    </row>
    <row r="269" spans="1:3">
      <c r="A269" s="6">
        <v>268</v>
      </c>
      <c r="B269" s="7" t="s">
        <v>18</v>
      </c>
      <c r="C269" s="8">
        <v>0.768</v>
      </c>
    </row>
    <row r="270" spans="1:3">
      <c r="A270" s="6">
        <v>269</v>
      </c>
      <c r="B270" s="7" t="s">
        <v>19</v>
      </c>
      <c r="C270" s="8">
        <v>0.873</v>
      </c>
    </row>
    <row r="271" spans="1:3">
      <c r="A271" s="6">
        <v>270</v>
      </c>
      <c r="B271" s="7" t="s">
        <v>20</v>
      </c>
      <c r="C271" s="8">
        <v>0.002</v>
      </c>
    </row>
    <row r="272" spans="1:3">
      <c r="A272" s="6">
        <v>271</v>
      </c>
      <c r="B272" s="7" t="s">
        <v>21</v>
      </c>
      <c r="C272" s="8">
        <v>-0.746</v>
      </c>
    </row>
    <row r="273" spans="1:3">
      <c r="A273" s="6">
        <v>272</v>
      </c>
      <c r="B273" s="7" t="s">
        <v>22</v>
      </c>
      <c r="C273" s="8">
        <v>-0.739</v>
      </c>
    </row>
    <row r="274" spans="1:3">
      <c r="A274" s="6">
        <v>273</v>
      </c>
      <c r="B274" s="7" t="s">
        <v>23</v>
      </c>
      <c r="C274" s="8">
        <v>0.161</v>
      </c>
    </row>
    <row r="275" spans="1:3">
      <c r="A275" s="6">
        <v>274</v>
      </c>
      <c r="B275" s="7" t="s">
        <v>17</v>
      </c>
      <c r="C275" s="8">
        <v>0.123</v>
      </c>
    </row>
    <row r="276" spans="1:3">
      <c r="A276" s="6">
        <v>275</v>
      </c>
      <c r="B276" s="7" t="s">
        <v>18</v>
      </c>
      <c r="C276" s="8">
        <v>0.083</v>
      </c>
    </row>
    <row r="277" spans="1:3">
      <c r="A277" s="6">
        <v>276</v>
      </c>
      <c r="B277" s="7" t="s">
        <v>19</v>
      </c>
      <c r="C277" s="8">
        <v>-0.627</v>
      </c>
    </row>
    <row r="278" spans="1:3">
      <c r="A278" s="6">
        <v>277</v>
      </c>
      <c r="B278" s="7" t="s">
        <v>20</v>
      </c>
      <c r="C278" s="8">
        <v>-0.43</v>
      </c>
    </row>
    <row r="279" spans="1:3">
      <c r="A279" s="6">
        <v>278</v>
      </c>
      <c r="B279" s="7" t="s">
        <v>21</v>
      </c>
      <c r="C279" s="8">
        <v>0.389</v>
      </c>
    </row>
    <row r="280" spans="1:3">
      <c r="A280" s="6">
        <v>279</v>
      </c>
      <c r="B280" s="7" t="s">
        <v>22</v>
      </c>
      <c r="C280" s="8">
        <v>-0.047</v>
      </c>
    </row>
    <row r="281" spans="1:3">
      <c r="A281" s="6">
        <v>280</v>
      </c>
      <c r="B281" s="7" t="s">
        <v>23</v>
      </c>
      <c r="C281" s="8">
        <v>-1.15</v>
      </c>
    </row>
    <row r="282" spans="1:3">
      <c r="A282" s="6">
        <v>281</v>
      </c>
      <c r="B282" s="7" t="s">
        <v>17</v>
      </c>
      <c r="C282" s="8">
        <v>-0.893</v>
      </c>
    </row>
    <row r="283" spans="1:3">
      <c r="A283" s="6">
        <v>282</v>
      </c>
      <c r="B283" s="7" t="s">
        <v>18</v>
      </c>
      <c r="C283" s="8">
        <v>0.642</v>
      </c>
    </row>
    <row r="284" spans="1:3">
      <c r="A284" s="6">
        <v>283</v>
      </c>
      <c r="B284" s="7" t="s">
        <v>19</v>
      </c>
      <c r="C284" s="8">
        <v>0.938</v>
      </c>
    </row>
    <row r="285" spans="1:3">
      <c r="A285" s="6">
        <v>284</v>
      </c>
      <c r="B285" s="7" t="s">
        <v>20</v>
      </c>
      <c r="C285" s="8">
        <v>-0.368</v>
      </c>
    </row>
    <row r="286" spans="1:3">
      <c r="A286" s="6">
        <v>285</v>
      </c>
      <c r="B286" s="7" t="s">
        <v>21</v>
      </c>
      <c r="C286" s="8">
        <v>-0.987</v>
      </c>
    </row>
    <row r="287" spans="1:3">
      <c r="A287" s="6">
        <v>286</v>
      </c>
      <c r="B287" s="7" t="s">
        <v>22</v>
      </c>
      <c r="C287" s="8">
        <v>-0.41</v>
      </c>
    </row>
    <row r="288" spans="1:3">
      <c r="A288" s="6">
        <v>287</v>
      </c>
      <c r="B288" s="7" t="s">
        <v>23</v>
      </c>
      <c r="C288" s="8">
        <v>0.608</v>
      </c>
    </row>
    <row r="289" spans="1:3">
      <c r="A289" s="6">
        <v>288</v>
      </c>
      <c r="B289" s="7" t="s">
        <v>17</v>
      </c>
      <c r="C289" s="8">
        <v>1.904</v>
      </c>
    </row>
    <row r="290" spans="1:3">
      <c r="A290" s="6">
        <v>289</v>
      </c>
      <c r="B290" s="7" t="s">
        <v>18</v>
      </c>
      <c r="C290" s="8">
        <v>1.256</v>
      </c>
    </row>
    <row r="291" spans="1:3">
      <c r="A291" s="6">
        <v>290</v>
      </c>
      <c r="B291" s="7" t="s">
        <v>19</v>
      </c>
      <c r="C291" s="8">
        <v>0.334</v>
      </c>
    </row>
    <row r="292" spans="1:3">
      <c r="A292" s="6">
        <v>291</v>
      </c>
      <c r="B292" s="7" t="s">
        <v>20</v>
      </c>
      <c r="C292" s="8">
        <v>-2.266</v>
      </c>
    </row>
    <row r="293" spans="1:3">
      <c r="A293" s="6">
        <v>292</v>
      </c>
      <c r="B293" s="7" t="s">
        <v>21</v>
      </c>
      <c r="C293" s="8">
        <v>-0.504</v>
      </c>
    </row>
    <row r="294" spans="1:3">
      <c r="A294" s="6">
        <v>293</v>
      </c>
      <c r="B294" s="7" t="s">
        <v>22</v>
      </c>
      <c r="C294" s="8">
        <v>-0.067</v>
      </c>
    </row>
    <row r="295" spans="1:3">
      <c r="A295" s="6">
        <v>294</v>
      </c>
      <c r="B295" s="7" t="s">
        <v>23</v>
      </c>
      <c r="C295" s="8">
        <v>0.955</v>
      </c>
    </row>
    <row r="296" spans="1:3">
      <c r="A296" s="6">
        <v>295</v>
      </c>
      <c r="B296" s="7" t="s">
        <v>17</v>
      </c>
      <c r="C296" s="8">
        <v>-0.588</v>
      </c>
    </row>
    <row r="297" spans="1:3">
      <c r="A297" s="6">
        <v>296</v>
      </c>
      <c r="B297" s="7" t="s">
        <v>18</v>
      </c>
      <c r="C297" s="8">
        <v>0.628</v>
      </c>
    </row>
    <row r="298" spans="1:3">
      <c r="A298" s="6">
        <v>297</v>
      </c>
      <c r="B298" s="7" t="s">
        <v>19</v>
      </c>
      <c r="C298" s="8">
        <v>-0.701</v>
      </c>
    </row>
    <row r="299" spans="1:3">
      <c r="A299" s="6">
        <v>298</v>
      </c>
      <c r="B299" s="7" t="s">
        <v>20</v>
      </c>
      <c r="C299" s="8">
        <v>-1.163</v>
      </c>
    </row>
    <row r="300" spans="1:3">
      <c r="A300" s="6">
        <v>299</v>
      </c>
      <c r="B300" s="7" t="s">
        <v>21</v>
      </c>
      <c r="C300" s="8">
        <v>-1.836</v>
      </c>
    </row>
    <row r="301" spans="1:3">
      <c r="A301" s="6">
        <v>300</v>
      </c>
      <c r="B301" s="7" t="s">
        <v>22</v>
      </c>
      <c r="C301" s="8">
        <v>-1.581</v>
      </c>
    </row>
    <row r="302" spans="1:3">
      <c r="A302" s="6">
        <v>301</v>
      </c>
      <c r="B302" s="7" t="s">
        <v>23</v>
      </c>
      <c r="C302" s="8">
        <v>-0.068</v>
      </c>
    </row>
    <row r="303" spans="1:3">
      <c r="A303" s="6">
        <v>302</v>
      </c>
      <c r="B303" s="7" t="s">
        <v>17</v>
      </c>
      <c r="C303" s="8">
        <v>-0.078</v>
      </c>
    </row>
    <row r="304" spans="1:3">
      <c r="A304" s="6">
        <v>303</v>
      </c>
      <c r="B304" s="7" t="s">
        <v>18</v>
      </c>
      <c r="C304" s="8">
        <v>-0.79</v>
      </c>
    </row>
    <row r="305" spans="1:3">
      <c r="A305" s="6">
        <v>304</v>
      </c>
      <c r="B305" s="7" t="s">
        <v>19</v>
      </c>
      <c r="C305" s="8">
        <v>0.296</v>
      </c>
    </row>
    <row r="306" spans="1:3">
      <c r="A306" s="6">
        <v>305</v>
      </c>
      <c r="B306" s="7" t="s">
        <v>20</v>
      </c>
      <c r="C306" s="8">
        <v>1.037</v>
      </c>
    </row>
    <row r="307" spans="1:3">
      <c r="A307" s="6">
        <v>306</v>
      </c>
      <c r="B307" s="7" t="s">
        <v>21</v>
      </c>
      <c r="C307" s="8">
        <v>2.096</v>
      </c>
    </row>
    <row r="308" spans="1:3">
      <c r="A308" s="6">
        <v>307</v>
      </c>
      <c r="B308" s="7" t="s">
        <v>22</v>
      </c>
      <c r="C308" s="8">
        <v>0.38</v>
      </c>
    </row>
    <row r="309" spans="1:3">
      <c r="A309" s="6">
        <v>308</v>
      </c>
      <c r="B309" s="7" t="s">
        <v>23</v>
      </c>
      <c r="C309" s="8">
        <v>1.115</v>
      </c>
    </row>
    <row r="310" spans="1:3">
      <c r="A310" s="6">
        <v>309</v>
      </c>
      <c r="B310" s="7" t="s">
        <v>17</v>
      </c>
      <c r="C310" s="8">
        <v>2.324</v>
      </c>
    </row>
    <row r="311" spans="1:3">
      <c r="A311" s="6">
        <v>310</v>
      </c>
      <c r="B311" s="7" t="s">
        <v>18</v>
      </c>
      <c r="C311" s="8">
        <v>1.55</v>
      </c>
    </row>
    <row r="312" spans="1:3">
      <c r="A312" s="6">
        <v>311</v>
      </c>
      <c r="B312" s="7" t="s">
        <v>19</v>
      </c>
      <c r="C312" s="8">
        <v>0.876</v>
      </c>
    </row>
    <row r="313" spans="1:3">
      <c r="A313" s="6">
        <v>312</v>
      </c>
      <c r="B313" s="7" t="s">
        <v>20</v>
      </c>
      <c r="C313" s="8">
        <v>0.576</v>
      </c>
    </row>
    <row r="314" spans="1:3">
      <c r="A314" s="6">
        <v>313</v>
      </c>
      <c r="B314" s="7" t="s">
        <v>21</v>
      </c>
      <c r="C314" s="8">
        <v>0.786</v>
      </c>
    </row>
    <row r="315" spans="1:3">
      <c r="A315" s="6">
        <v>314</v>
      </c>
      <c r="B315" s="7" t="s">
        <v>22</v>
      </c>
      <c r="C315" s="8">
        <v>0.18</v>
      </c>
    </row>
    <row r="316" spans="1:3">
      <c r="A316" s="6">
        <v>315</v>
      </c>
      <c r="B316" s="7" t="s">
        <v>23</v>
      </c>
      <c r="C316" s="8">
        <v>0.072</v>
      </c>
    </row>
    <row r="317" spans="1:3">
      <c r="A317" s="6">
        <v>316</v>
      </c>
      <c r="B317" s="7" t="s">
        <v>17</v>
      </c>
      <c r="C317" s="8">
        <v>-0.019</v>
      </c>
    </row>
    <row r="318" spans="1:3">
      <c r="A318" s="6">
        <v>317</v>
      </c>
      <c r="B318" s="7" t="s">
        <v>18</v>
      </c>
      <c r="C318" s="8">
        <v>-0.345</v>
      </c>
    </row>
    <row r="319" spans="1:3">
      <c r="A319" s="6">
        <v>318</v>
      </c>
      <c r="B319" s="7" t="s">
        <v>19</v>
      </c>
      <c r="C319" s="8">
        <v>-0.427</v>
      </c>
    </row>
    <row r="320" spans="1:3">
      <c r="A320" s="6">
        <v>319</v>
      </c>
      <c r="B320" s="7" t="s">
        <v>20</v>
      </c>
      <c r="C320" s="8">
        <v>-2.436</v>
      </c>
    </row>
    <row r="321" spans="1:3">
      <c r="A321" s="6">
        <v>320</v>
      </c>
      <c r="B321" s="7" t="s">
        <v>21</v>
      </c>
      <c r="C321" s="8">
        <v>-1.169</v>
      </c>
    </row>
    <row r="322" spans="1:3">
      <c r="A322" s="6">
        <v>321</v>
      </c>
      <c r="B322" s="7" t="s">
        <v>22</v>
      </c>
      <c r="C322" s="8">
        <v>-0.312</v>
      </c>
    </row>
    <row r="323" spans="1:3">
      <c r="A323" s="6">
        <v>322</v>
      </c>
      <c r="B323" s="7" t="s">
        <v>23</v>
      </c>
      <c r="C323" s="8">
        <v>1.283</v>
      </c>
    </row>
    <row r="324" spans="1:3">
      <c r="A324" s="6">
        <v>323</v>
      </c>
      <c r="B324" s="7" t="s">
        <v>17</v>
      </c>
      <c r="C324" s="8">
        <v>-0.394</v>
      </c>
    </row>
    <row r="325" spans="1:3">
      <c r="A325" s="6">
        <v>324</v>
      </c>
      <c r="B325" s="7" t="s">
        <v>18</v>
      </c>
      <c r="C325" s="8">
        <v>-0.222</v>
      </c>
    </row>
    <row r="326" spans="1:3">
      <c r="A326" s="6">
        <v>325</v>
      </c>
      <c r="B326" s="7" t="s">
        <v>19</v>
      </c>
      <c r="C326" s="8">
        <v>-0.072</v>
      </c>
    </row>
    <row r="327" spans="1:3">
      <c r="A327" s="6">
        <v>326</v>
      </c>
      <c r="B327" s="7" t="s">
        <v>20</v>
      </c>
      <c r="C327" s="8">
        <v>-0.552</v>
      </c>
    </row>
    <row r="328" spans="1:3">
      <c r="A328" s="6">
        <v>327</v>
      </c>
      <c r="B328" s="7" t="s">
        <v>21</v>
      </c>
      <c r="C328" s="8">
        <v>-0.059</v>
      </c>
    </row>
    <row r="329" spans="1:3">
      <c r="A329" s="6">
        <v>328</v>
      </c>
      <c r="B329" s="7" t="s">
        <v>22</v>
      </c>
      <c r="C329" s="8">
        <v>0.288</v>
      </c>
    </row>
    <row r="330" spans="1:3">
      <c r="A330" s="6">
        <v>329</v>
      </c>
      <c r="B330" s="7" t="s">
        <v>23</v>
      </c>
      <c r="C330" s="8">
        <v>0.246</v>
      </c>
    </row>
    <row r="331" spans="1:3">
      <c r="A331" s="6">
        <v>330</v>
      </c>
      <c r="B331" s="7" t="s">
        <v>17</v>
      </c>
      <c r="C331" s="8">
        <v>-0.645</v>
      </c>
    </row>
    <row r="332" spans="1:3">
      <c r="A332" s="6">
        <v>331</v>
      </c>
      <c r="B332" s="7" t="s">
        <v>18</v>
      </c>
      <c r="C332" s="8">
        <v>-0.139</v>
      </c>
    </row>
    <row r="333" spans="1:3">
      <c r="A333" s="6">
        <v>332</v>
      </c>
      <c r="B333" s="7" t="s">
        <v>19</v>
      </c>
      <c r="C333" s="8">
        <v>-0.993</v>
      </c>
    </row>
    <row r="334" spans="1:3">
      <c r="A334" s="6">
        <v>333</v>
      </c>
      <c r="B334" s="7" t="s">
        <v>20</v>
      </c>
      <c r="C334" s="8">
        <v>-0.365</v>
      </c>
    </row>
    <row r="335" spans="1:3">
      <c r="A335" s="6">
        <v>334</v>
      </c>
      <c r="B335" s="7" t="s">
        <v>21</v>
      </c>
      <c r="C335" s="8">
        <v>1.315</v>
      </c>
    </row>
    <row r="336" spans="1:3">
      <c r="A336" s="6">
        <v>335</v>
      </c>
      <c r="B336" s="7" t="s">
        <v>22</v>
      </c>
      <c r="C336" s="8">
        <v>1.868</v>
      </c>
    </row>
    <row r="337" spans="1:3">
      <c r="A337" s="6">
        <v>336</v>
      </c>
      <c r="B337" s="7" t="s">
        <v>23</v>
      </c>
      <c r="C337" s="8">
        <v>0.602</v>
      </c>
    </row>
    <row r="338" spans="1:3">
      <c r="A338" s="6">
        <v>337</v>
      </c>
      <c r="B338" s="7" t="s">
        <v>17</v>
      </c>
      <c r="C338" s="8">
        <v>0.815</v>
      </c>
    </row>
    <row r="339" spans="1:3">
      <c r="A339" s="6">
        <v>338</v>
      </c>
      <c r="B339" s="7" t="s">
        <v>18</v>
      </c>
      <c r="C339" s="8">
        <v>-1.169</v>
      </c>
    </row>
    <row r="340" spans="1:3">
      <c r="A340" s="6">
        <v>339</v>
      </c>
      <c r="B340" s="7" t="s">
        <v>19</v>
      </c>
      <c r="C340" s="8">
        <v>-0.063</v>
      </c>
    </row>
    <row r="341" spans="1:3">
      <c r="A341" s="6">
        <v>340</v>
      </c>
      <c r="B341" s="7" t="s">
        <v>20</v>
      </c>
      <c r="C341" s="8">
        <v>-0.554</v>
      </c>
    </row>
    <row r="342" spans="1:3">
      <c r="A342" s="6">
        <v>341</v>
      </c>
      <c r="B342" s="7" t="s">
        <v>21</v>
      </c>
      <c r="C342" s="8">
        <v>-0.226</v>
      </c>
    </row>
    <row r="343" spans="1:3">
      <c r="A343" s="6">
        <v>342</v>
      </c>
      <c r="B343" s="7" t="s">
        <v>22</v>
      </c>
      <c r="C343" s="8">
        <v>-1.284</v>
      </c>
    </row>
    <row r="344" spans="1:3">
      <c r="A344" s="6">
        <v>343</v>
      </c>
      <c r="B344" s="7" t="s">
        <v>23</v>
      </c>
      <c r="C344" s="8">
        <v>-0.606</v>
      </c>
    </row>
    <row r="345" spans="1:3">
      <c r="A345" s="6">
        <v>344</v>
      </c>
      <c r="B345" s="7" t="s">
        <v>17</v>
      </c>
      <c r="C345" s="8">
        <v>0.828</v>
      </c>
    </row>
    <row r="346" spans="1:3">
      <c r="A346" s="6">
        <v>345</v>
      </c>
      <c r="B346" s="7" t="s">
        <v>18</v>
      </c>
      <c r="C346" s="8">
        <v>0.841</v>
      </c>
    </row>
    <row r="347" spans="1:3">
      <c r="A347" s="6">
        <v>346</v>
      </c>
      <c r="B347" s="7" t="s">
        <v>19</v>
      </c>
      <c r="C347" s="8">
        <v>-1.264</v>
      </c>
    </row>
    <row r="348" spans="1:3">
      <c r="A348" s="6">
        <v>347</v>
      </c>
      <c r="B348" s="7" t="s">
        <v>20</v>
      </c>
      <c r="C348" s="8">
        <v>-1.142</v>
      </c>
    </row>
    <row r="349" spans="1:3">
      <c r="A349" s="6">
        <v>348</v>
      </c>
      <c r="B349" s="7" t="s">
        <v>21</v>
      </c>
      <c r="C349" s="8">
        <v>-0.127</v>
      </c>
    </row>
    <row r="350" spans="1:3">
      <c r="A350" s="6">
        <v>349</v>
      </c>
      <c r="B350" s="7" t="s">
        <v>22</v>
      </c>
      <c r="C350" s="8">
        <v>-1.565</v>
      </c>
    </row>
    <row r="351" spans="1:3">
      <c r="A351" s="6">
        <v>350</v>
      </c>
      <c r="B351" s="7" t="s">
        <v>23</v>
      </c>
      <c r="C351" s="8">
        <v>-0.441</v>
      </c>
    </row>
    <row r="352" spans="1:3">
      <c r="A352" s="6">
        <v>351</v>
      </c>
      <c r="B352" s="7" t="s">
        <v>17</v>
      </c>
      <c r="C352" s="8">
        <v>-0.59</v>
      </c>
    </row>
    <row r="353" spans="1:3">
      <c r="A353" s="6">
        <v>352</v>
      </c>
      <c r="B353" s="7" t="s">
        <v>18</v>
      </c>
      <c r="C353" s="8">
        <v>-0.508</v>
      </c>
    </row>
    <row r="354" spans="1:3">
      <c r="A354" s="6">
        <v>353</v>
      </c>
      <c r="B354" s="7" t="s">
        <v>19</v>
      </c>
      <c r="C354" s="8">
        <v>-1.438</v>
      </c>
    </row>
    <row r="355" spans="1:3">
      <c r="A355" s="6">
        <v>354</v>
      </c>
      <c r="B355" s="7" t="s">
        <v>20</v>
      </c>
      <c r="C355" s="8">
        <v>1.296</v>
      </c>
    </row>
    <row r="356" spans="1:3">
      <c r="A356" s="6">
        <v>355</v>
      </c>
      <c r="B356" s="7" t="s">
        <v>21</v>
      </c>
      <c r="C356" s="8">
        <v>0.513</v>
      </c>
    </row>
    <row r="357" spans="1:3">
      <c r="A357" s="6">
        <v>356</v>
      </c>
      <c r="B357" s="7" t="s">
        <v>22</v>
      </c>
      <c r="C357" s="8">
        <v>-0.333</v>
      </c>
    </row>
    <row r="358" spans="1:3">
      <c r="A358" s="6">
        <v>357</v>
      </c>
      <c r="B358" s="7" t="s">
        <v>23</v>
      </c>
      <c r="C358" s="8">
        <v>-0.619</v>
      </c>
    </row>
    <row r="359" spans="1:3">
      <c r="A359" s="6">
        <v>358</v>
      </c>
      <c r="B359" s="7" t="s">
        <v>17</v>
      </c>
      <c r="C359" s="8">
        <v>1.475</v>
      </c>
    </row>
    <row r="360" spans="1:3">
      <c r="A360" s="6">
        <v>359</v>
      </c>
      <c r="B360" s="7" t="s">
        <v>18</v>
      </c>
      <c r="C360" s="8">
        <v>1.788</v>
      </c>
    </row>
    <row r="361" spans="1:3">
      <c r="A361" s="6">
        <v>360</v>
      </c>
      <c r="B361" s="7" t="s">
        <v>19</v>
      </c>
      <c r="C361" s="8">
        <v>-0.011</v>
      </c>
    </row>
    <row r="362" spans="1:3">
      <c r="A362" s="6">
        <v>361</v>
      </c>
      <c r="B362" s="7" t="s">
        <v>20</v>
      </c>
      <c r="C362" s="8">
        <v>1.347</v>
      </c>
    </row>
    <row r="363" spans="1:3">
      <c r="A363" s="6">
        <v>362</v>
      </c>
      <c r="B363" s="7" t="s">
        <v>21</v>
      </c>
      <c r="C363" s="8">
        <v>1.169</v>
      </c>
    </row>
    <row r="364" spans="1:3">
      <c r="A364" s="6">
        <v>363</v>
      </c>
      <c r="B364" s="7" t="s">
        <v>22</v>
      </c>
      <c r="C364" s="8">
        <v>1.521</v>
      </c>
    </row>
    <row r="365" spans="1:3">
      <c r="A365" s="6">
        <v>364</v>
      </c>
      <c r="B365" s="7" t="s">
        <v>23</v>
      </c>
      <c r="C365" s="8">
        <v>-0.534</v>
      </c>
    </row>
    <row r="366" spans="1:3">
      <c r="A366" s="6">
        <v>365</v>
      </c>
      <c r="B366" s="7" t="s">
        <v>17</v>
      </c>
      <c r="C366" s="8">
        <v>-0.793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8.68141592920354" defaultRowHeight="14.25" outlineLevelCol="7"/>
  <cols>
    <col min="1" max="1" width="6" customWidth="1"/>
    <col min="2" max="8" width="9" customWidth="1"/>
  </cols>
  <sheetData>
    <row r="1" spans="1:8">
      <c r="A1" s="4" t="s">
        <v>24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8">
      <c r="A2" s="6">
        <v>0</v>
      </c>
      <c r="B2" s="8">
        <v>0.69</v>
      </c>
      <c r="C2" s="8">
        <v>-0.727</v>
      </c>
      <c r="D2" s="8">
        <v>-1.013</v>
      </c>
      <c r="E2" s="8">
        <v>-0.081</v>
      </c>
      <c r="F2" s="8">
        <v>-0.775</v>
      </c>
      <c r="G2" s="8">
        <v>0.241</v>
      </c>
      <c r="H2" s="8">
        <v>-0.453</v>
      </c>
    </row>
    <row r="3" spans="1:8">
      <c r="A3" s="6">
        <v>1</v>
      </c>
      <c r="B3" s="8">
        <v>0.747</v>
      </c>
      <c r="C3" s="8">
        <v>-1.826</v>
      </c>
      <c r="D3" s="8">
        <v>-1.655</v>
      </c>
      <c r="E3" s="8">
        <v>1.043</v>
      </c>
      <c r="F3" s="8">
        <v>0.349</v>
      </c>
      <c r="G3" s="8">
        <v>1.042</v>
      </c>
      <c r="H3" s="8">
        <v>1.319</v>
      </c>
    </row>
    <row r="4" spans="1:8">
      <c r="A4" s="6">
        <v>2</v>
      </c>
      <c r="B4" s="8">
        <v>0.162</v>
      </c>
      <c r="C4" s="8">
        <v>-1.179</v>
      </c>
      <c r="D4" s="8">
        <v>-1.471</v>
      </c>
      <c r="E4" s="8">
        <v>1.416</v>
      </c>
      <c r="F4" s="8">
        <v>-0.773</v>
      </c>
      <c r="G4" s="8">
        <v>1.311</v>
      </c>
      <c r="H4" s="8">
        <v>1.609</v>
      </c>
    </row>
    <row r="5" spans="1:8">
      <c r="A5" s="6">
        <v>3</v>
      </c>
      <c r="B5" s="8">
        <v>-0.476</v>
      </c>
      <c r="C5" s="8">
        <v>-1.461</v>
      </c>
      <c r="D5" s="8">
        <v>-0.376</v>
      </c>
      <c r="E5" s="8">
        <v>0.857</v>
      </c>
      <c r="F5" s="8">
        <v>0.293</v>
      </c>
      <c r="G5" s="8">
        <v>1.319</v>
      </c>
      <c r="H5" s="8">
        <v>-0.042</v>
      </c>
    </row>
    <row r="6" spans="1:8">
      <c r="A6" s="6">
        <v>4</v>
      </c>
      <c r="B6" s="8">
        <v>0.46</v>
      </c>
      <c r="C6" s="8">
        <v>-1.625</v>
      </c>
      <c r="D6" s="8">
        <v>-0.35</v>
      </c>
      <c r="E6" s="8">
        <v>0.958</v>
      </c>
      <c r="F6" s="8">
        <v>-0.602</v>
      </c>
      <c r="G6" s="8">
        <v>0.998</v>
      </c>
      <c r="H6" s="8">
        <v>0.563</v>
      </c>
    </row>
    <row r="7" spans="1:8">
      <c r="A7" s="6">
        <v>5</v>
      </c>
      <c r="B7" s="8">
        <v>0.797</v>
      </c>
      <c r="C7" s="8">
        <v>-0.711</v>
      </c>
      <c r="D7" s="8">
        <v>0.727</v>
      </c>
      <c r="E7" s="8">
        <v>1.813</v>
      </c>
      <c r="F7" s="8">
        <v>0.129</v>
      </c>
      <c r="G7" s="8">
        <v>0.495</v>
      </c>
      <c r="H7" s="8">
        <v>0.785</v>
      </c>
    </row>
    <row r="8" spans="1:8">
      <c r="A8" s="6">
        <v>6</v>
      </c>
      <c r="B8" s="8">
        <v>0.243</v>
      </c>
      <c r="C8" s="8">
        <v>0.069</v>
      </c>
      <c r="D8" s="8">
        <v>1.428</v>
      </c>
      <c r="E8" s="8">
        <v>1.643</v>
      </c>
      <c r="F8" s="8">
        <v>0.091</v>
      </c>
      <c r="G8" s="8">
        <v>-0.916</v>
      </c>
      <c r="H8" s="8">
        <v>1.048</v>
      </c>
    </row>
    <row r="9" spans="1:8">
      <c r="A9" s="6">
        <v>7</v>
      </c>
      <c r="B9" s="8">
        <v>1.113</v>
      </c>
      <c r="C9" s="8">
        <v>0.01</v>
      </c>
      <c r="D9" s="8">
        <v>-0.177</v>
      </c>
      <c r="E9" s="8">
        <v>0.29</v>
      </c>
      <c r="F9" s="8">
        <v>-0.397</v>
      </c>
      <c r="G9" s="8">
        <v>-0.389</v>
      </c>
      <c r="H9" s="8">
        <v>0.776</v>
      </c>
    </row>
    <row r="10" spans="1:8">
      <c r="A10" s="6">
        <v>8</v>
      </c>
      <c r="B10" s="8">
        <v>-0.417</v>
      </c>
      <c r="C10" s="8">
        <v>-0.152</v>
      </c>
      <c r="D10" s="8">
        <v>1.129</v>
      </c>
      <c r="E10" s="8">
        <v>0.493</v>
      </c>
      <c r="F10" s="8">
        <v>-0.933</v>
      </c>
      <c r="G10" s="8">
        <v>-0.637</v>
      </c>
      <c r="H10" s="8">
        <v>1.054</v>
      </c>
    </row>
    <row r="11" spans="1:8">
      <c r="A11" s="6">
        <v>9</v>
      </c>
      <c r="B11" s="8">
        <v>0.228</v>
      </c>
      <c r="C11" s="8">
        <v>1.187</v>
      </c>
      <c r="D11" s="8">
        <v>0.188</v>
      </c>
      <c r="E11" s="8">
        <v>-0.083</v>
      </c>
      <c r="F11" s="8">
        <v>-0.304</v>
      </c>
      <c r="G11" s="8">
        <v>-0.798</v>
      </c>
      <c r="H11" s="8">
        <v>-0.473</v>
      </c>
    </row>
    <row r="12" spans="1:8">
      <c r="A12" s="6">
        <v>10</v>
      </c>
      <c r="B12" s="8">
        <v>-0.277</v>
      </c>
      <c r="C12" s="8">
        <v>0.512</v>
      </c>
      <c r="D12" s="8">
        <v>0.133</v>
      </c>
      <c r="E12" s="8">
        <v>-1.102</v>
      </c>
      <c r="F12" s="8">
        <v>0.133</v>
      </c>
      <c r="G12" s="8">
        <v>-0.846</v>
      </c>
      <c r="H12" s="8">
        <v>-0.783</v>
      </c>
    </row>
    <row r="13" spans="1:8">
      <c r="A13" s="6">
        <v>11</v>
      </c>
      <c r="B13" s="8">
        <v>-0.138</v>
      </c>
      <c r="C13" s="8">
        <v>1.182</v>
      </c>
      <c r="D13" s="8">
        <v>1.244</v>
      </c>
      <c r="E13" s="8">
        <v>-1.365</v>
      </c>
      <c r="F13" s="8">
        <v>1.911</v>
      </c>
      <c r="G13" s="8">
        <v>-1.664</v>
      </c>
      <c r="H13" s="8">
        <v>-0.496</v>
      </c>
    </row>
    <row r="14" spans="1:8">
      <c r="A14" s="6">
        <v>12</v>
      </c>
      <c r="B14" s="8">
        <v>-0.577</v>
      </c>
      <c r="C14" s="8">
        <v>0.257</v>
      </c>
      <c r="D14" s="8">
        <v>1.097</v>
      </c>
      <c r="E14" s="8">
        <v>-1.092</v>
      </c>
      <c r="F14" s="8">
        <v>1.965</v>
      </c>
      <c r="G14" s="8">
        <v>-2.5</v>
      </c>
      <c r="H14" s="8">
        <v>-1.231</v>
      </c>
    </row>
    <row r="15" spans="1:8">
      <c r="A15" s="6">
        <v>13</v>
      </c>
      <c r="B15" s="8">
        <v>-0.332</v>
      </c>
      <c r="C15" s="8">
        <v>-0.041</v>
      </c>
      <c r="D15" s="8">
        <v>1.079</v>
      </c>
      <c r="E15" s="8">
        <v>-1.07</v>
      </c>
      <c r="F15" s="8">
        <v>0.887</v>
      </c>
      <c r="G15" s="8">
        <v>-0.848</v>
      </c>
      <c r="H15" s="8">
        <v>-0.113</v>
      </c>
    </row>
    <row r="16" spans="1:8">
      <c r="A16" s="6">
        <v>14</v>
      </c>
      <c r="B16" s="8">
        <v>-1.836</v>
      </c>
      <c r="C16" s="8">
        <v>1.321</v>
      </c>
      <c r="D16" s="8">
        <v>0.95</v>
      </c>
      <c r="E16" s="8">
        <v>-0.46</v>
      </c>
      <c r="F16" s="8">
        <v>1.705</v>
      </c>
      <c r="G16" s="8">
        <v>0.07</v>
      </c>
      <c r="H16" s="8">
        <v>-0.644</v>
      </c>
    </row>
    <row r="17" spans="1:8">
      <c r="A17" s="6">
        <v>15</v>
      </c>
      <c r="B17" s="8">
        <v>-0.8</v>
      </c>
      <c r="C17" s="8">
        <v>0.675</v>
      </c>
      <c r="D17" s="8">
        <v>1.997</v>
      </c>
      <c r="E17" s="8">
        <v>-1.625</v>
      </c>
      <c r="F17" s="8">
        <v>-0.576</v>
      </c>
      <c r="G17" s="8">
        <v>-0.28</v>
      </c>
      <c r="H17" s="8">
        <v>-1.2</v>
      </c>
    </row>
    <row r="18" spans="1:8">
      <c r="A18" s="6">
        <v>16</v>
      </c>
      <c r="B18" s="8">
        <v>-1.056</v>
      </c>
      <c r="C18" s="8">
        <v>0.128</v>
      </c>
      <c r="D18" s="8">
        <v>0.31</v>
      </c>
      <c r="E18" s="8">
        <v>-0.879</v>
      </c>
      <c r="F18" s="8">
        <v>0.868</v>
      </c>
      <c r="G18" s="8">
        <v>-0.388</v>
      </c>
      <c r="H18" s="8">
        <v>-2.245</v>
      </c>
    </row>
    <row r="19" spans="1:8">
      <c r="A19" s="6">
        <v>17</v>
      </c>
      <c r="B19" s="8">
        <v>-0.491</v>
      </c>
      <c r="C19" s="8">
        <v>0.895</v>
      </c>
      <c r="D19" s="8">
        <v>-0.258</v>
      </c>
      <c r="E19" s="8">
        <v>-1.042</v>
      </c>
      <c r="F19" s="8">
        <v>0.49</v>
      </c>
      <c r="G19" s="8">
        <v>0.557</v>
      </c>
      <c r="H19" s="8">
        <v>-1.66</v>
      </c>
    </row>
    <row r="20" spans="1:8">
      <c r="A20" s="6">
        <v>18</v>
      </c>
      <c r="B20" s="8">
        <v>-2.5</v>
      </c>
      <c r="C20" s="8">
        <v>2.16</v>
      </c>
      <c r="D20" s="8">
        <v>-0.533</v>
      </c>
      <c r="E20" s="8">
        <v>-0.9</v>
      </c>
      <c r="F20" s="8">
        <v>-0.051</v>
      </c>
      <c r="G20" s="8">
        <v>0.187</v>
      </c>
      <c r="H20" s="8">
        <v>1.186</v>
      </c>
    </row>
    <row r="21" spans="1:8">
      <c r="A21" s="6">
        <v>19</v>
      </c>
      <c r="B21" s="8">
        <v>-0.145</v>
      </c>
      <c r="C21" s="8">
        <v>1.001</v>
      </c>
      <c r="D21" s="8">
        <v>-0.438</v>
      </c>
      <c r="E21" s="8">
        <v>-0.638</v>
      </c>
      <c r="F21" s="8">
        <v>0.854</v>
      </c>
      <c r="G21" s="8">
        <v>1.074</v>
      </c>
      <c r="H21" s="8">
        <v>-0.11</v>
      </c>
    </row>
    <row r="22" spans="1:8">
      <c r="A22" s="6">
        <v>20</v>
      </c>
      <c r="B22" s="8">
        <v>1.273</v>
      </c>
      <c r="C22" s="8">
        <v>-0.806</v>
      </c>
      <c r="D22" s="8">
        <v>-1.265</v>
      </c>
      <c r="E22" s="8">
        <v>-0.02</v>
      </c>
      <c r="F22" s="8">
        <v>-0.614</v>
      </c>
      <c r="G22" s="8">
        <v>1.114</v>
      </c>
      <c r="H22" s="8">
        <v>1.322</v>
      </c>
    </row>
    <row r="23" spans="1:8">
      <c r="A23" s="6">
        <v>21</v>
      </c>
      <c r="B23" s="8">
        <v>0.325</v>
      </c>
      <c r="C23" s="8">
        <v>0.376</v>
      </c>
      <c r="D23" s="8">
        <v>-1.289</v>
      </c>
      <c r="E23" s="8">
        <v>0.184</v>
      </c>
      <c r="F23" s="8">
        <v>-1.549</v>
      </c>
      <c r="G23" s="8">
        <v>-0.2</v>
      </c>
      <c r="H23" s="8">
        <v>-0.148</v>
      </c>
    </row>
    <row r="24" spans="1:8">
      <c r="A24" s="6">
        <v>22</v>
      </c>
      <c r="B24" s="8">
        <v>1.092</v>
      </c>
      <c r="C24" s="8">
        <v>-0.455</v>
      </c>
      <c r="D24" s="8">
        <v>-0.966</v>
      </c>
      <c r="E24" s="8">
        <v>1.123</v>
      </c>
      <c r="F24" s="8">
        <v>-1.881</v>
      </c>
      <c r="G24" s="8">
        <v>0.534</v>
      </c>
      <c r="H24" s="8">
        <v>0.333</v>
      </c>
    </row>
    <row r="25" spans="1:8">
      <c r="A25" s="6">
        <v>23</v>
      </c>
      <c r="B25" s="8">
        <v>2.089</v>
      </c>
      <c r="C25" s="8">
        <v>-0.789</v>
      </c>
      <c r="D25" s="8">
        <v>-0.493</v>
      </c>
      <c r="E25" s="8">
        <v>0.537</v>
      </c>
      <c r="F25" s="8">
        <v>-1.221</v>
      </c>
      <c r="G25" s="8">
        <v>0.838</v>
      </c>
      <c r="H25" s="8">
        <v>-0.399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pane ySplit="1" topLeftCell="A2" activePane="bottomLeft" state="frozen"/>
      <selection/>
      <selection pane="bottomLeft" activeCell="B5" sqref="B5:B21"/>
    </sheetView>
  </sheetViews>
  <sheetFormatPr defaultColWidth="8.68141592920354" defaultRowHeight="14.25" outlineLevelCol="1"/>
  <cols>
    <col min="1" max="1" width="22" customWidth="1"/>
    <col min="2" max="2" width="14" customWidth="1"/>
  </cols>
  <sheetData>
    <row r="1" spans="1:2">
      <c r="A1" s="4" t="s">
        <v>25</v>
      </c>
      <c r="B1" s="4" t="s">
        <v>26</v>
      </c>
    </row>
    <row r="2" spans="1:2">
      <c r="A2" s="9" t="s">
        <v>27</v>
      </c>
      <c r="B2" s="10">
        <v>0.08</v>
      </c>
    </row>
    <row r="3" spans="1:2">
      <c r="A3" s="9" t="s">
        <v>28</v>
      </c>
      <c r="B3" s="10">
        <v>0.08</v>
      </c>
    </row>
    <row r="4" spans="1:2">
      <c r="A4" s="9" t="s">
        <v>29</v>
      </c>
      <c r="B4" s="10">
        <v>0.06</v>
      </c>
    </row>
    <row r="5" spans="1:2">
      <c r="A5" s="9" t="s">
        <v>30</v>
      </c>
      <c r="B5" s="10">
        <v>0.06</v>
      </c>
    </row>
    <row r="6" spans="1:2">
      <c r="A6" s="9" t="s">
        <v>31</v>
      </c>
      <c r="B6" s="10">
        <v>0.1</v>
      </c>
    </row>
    <row r="7" spans="1:2">
      <c r="A7" s="9" t="s">
        <v>32</v>
      </c>
      <c r="B7" s="10">
        <v>0.1</v>
      </c>
    </row>
    <row r="8" spans="1:2">
      <c r="A8" s="9" t="s">
        <v>33</v>
      </c>
      <c r="B8" s="10">
        <v>0.08</v>
      </c>
    </row>
    <row r="9" spans="1:2">
      <c r="A9" s="9" t="s">
        <v>34</v>
      </c>
      <c r="B9" s="10">
        <v>0.1</v>
      </c>
    </row>
    <row r="10" spans="1:2">
      <c r="A10" s="9" t="s">
        <v>35</v>
      </c>
      <c r="B10" s="10">
        <v>0.1</v>
      </c>
    </row>
    <row r="11" spans="1:2">
      <c r="A11" s="9" t="s">
        <v>36</v>
      </c>
      <c r="B11" s="10">
        <v>0.1</v>
      </c>
    </row>
    <row r="12" spans="1:2">
      <c r="A12" s="9" t="s">
        <v>37</v>
      </c>
      <c r="B12" s="10">
        <v>0.03</v>
      </c>
    </row>
    <row r="13" spans="1:2">
      <c r="A13" s="9" t="s">
        <v>38</v>
      </c>
      <c r="B13" s="10">
        <v>0.04</v>
      </c>
    </row>
    <row r="14" spans="1:2">
      <c r="A14" s="9" t="s">
        <v>39</v>
      </c>
      <c r="B14" s="10">
        <v>0.03</v>
      </c>
    </row>
    <row r="15" spans="1:2">
      <c r="A15" s="9" t="s">
        <v>40</v>
      </c>
      <c r="B15" s="10">
        <v>0.08</v>
      </c>
    </row>
    <row r="16" spans="1:2">
      <c r="A16" s="9" t="s">
        <v>41</v>
      </c>
      <c r="B16" s="10">
        <v>0.06</v>
      </c>
    </row>
    <row r="17" spans="1:2">
      <c r="A17" s="9" t="s">
        <v>42</v>
      </c>
      <c r="B17" s="10">
        <v>0.1</v>
      </c>
    </row>
    <row r="18" spans="1:2">
      <c r="A18" s="9" t="s">
        <v>43</v>
      </c>
      <c r="B18" s="10">
        <v>0.05</v>
      </c>
    </row>
    <row r="19" spans="1:2">
      <c r="A19" s="9" t="s">
        <v>44</v>
      </c>
      <c r="B19" s="10">
        <v>0.15</v>
      </c>
    </row>
    <row r="20" spans="1:2">
      <c r="A20" s="9" t="s">
        <v>45</v>
      </c>
      <c r="B20" s="10">
        <v>0.04</v>
      </c>
    </row>
    <row r="21" spans="1:2">
      <c r="A21" s="9" t="s">
        <v>46</v>
      </c>
      <c r="B21" s="10">
        <v>0.05</v>
      </c>
    </row>
    <row r="22" spans="1:2">
      <c r="A22" s="9" t="s">
        <v>47</v>
      </c>
      <c r="B22" s="10">
        <v>0.05</v>
      </c>
    </row>
    <row r="23" spans="1:2">
      <c r="A23" s="9" t="s">
        <v>48</v>
      </c>
      <c r="B23" s="10">
        <v>0.08</v>
      </c>
    </row>
    <row r="24" spans="1:2">
      <c r="A24" s="9" t="s">
        <v>49</v>
      </c>
      <c r="B24" s="10">
        <v>0.03</v>
      </c>
    </row>
    <row r="25" spans="1:2">
      <c r="A25" s="9" t="s">
        <v>50</v>
      </c>
      <c r="B25" s="10">
        <v>0.02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tabSelected="1" workbookViewId="0">
      <pane ySplit="3" topLeftCell="A4" activePane="bottomLeft" state="frozen"/>
      <selection/>
      <selection pane="bottomLeft" activeCell="D76" sqref="D76"/>
    </sheetView>
  </sheetViews>
  <sheetFormatPr defaultColWidth="8.68141592920354" defaultRowHeight="14.25" outlineLevelCol="3"/>
  <cols>
    <col min="1" max="1" width="8" customWidth="1"/>
    <col min="2" max="2" width="10" customWidth="1"/>
    <col min="3" max="3" width="6" customWidth="1"/>
    <col min="4" max="4" width="12" customWidth="1"/>
  </cols>
  <sheetData>
    <row r="1" spans="1:4">
      <c r="A1" s="1" t="s">
        <v>51</v>
      </c>
      <c r="C1" s="2">
        <v>0.08</v>
      </c>
      <c r="D1" s="3" t="s">
        <v>52</v>
      </c>
    </row>
    <row r="3" spans="1:4">
      <c r="A3" s="4" t="s">
        <v>14</v>
      </c>
      <c r="B3" s="4" t="s">
        <v>15</v>
      </c>
      <c r="C3" s="4" t="s">
        <v>24</v>
      </c>
      <c r="D3" s="5" t="s">
        <v>53</v>
      </c>
    </row>
    <row r="4" spans="1:4">
      <c r="A4" s="6">
        <v>1</v>
      </c>
      <c r="B4" s="7" t="s">
        <v>17</v>
      </c>
      <c r="C4" s="6">
        <v>0</v>
      </c>
      <c r="D4" s="8">
        <f>1+$C$1*(INDEX(日因子!$C:$C,A4+1)+0.4*INDEX(时纹理!$B:$H,C4+2,A4))</f>
        <v>1.00632</v>
      </c>
    </row>
    <row r="5" spans="1:4">
      <c r="A5" s="6">
        <v>1</v>
      </c>
      <c r="B5" s="7" t="s">
        <v>17</v>
      </c>
      <c r="C5" s="6">
        <v>1</v>
      </c>
      <c r="D5" s="8">
        <f>1+$C$1*(INDEX(日因子!$C:$C,A5+1)+0.4*INDEX(时纹理!$B:$H,C5+2,A5))</f>
        <v>1.008144</v>
      </c>
    </row>
    <row r="6" spans="1:4">
      <c r="A6" s="6">
        <v>1</v>
      </c>
      <c r="B6" s="7" t="s">
        <v>17</v>
      </c>
      <c r="C6" s="6">
        <v>2</v>
      </c>
      <c r="D6" s="8">
        <f>1+$C$1*(INDEX(日因子!$C:$C,A6+1)+0.4*INDEX(时纹理!$B:$H,C6+2,A6))</f>
        <v>0.989424</v>
      </c>
    </row>
    <row r="7" spans="1:4">
      <c r="A7" s="6">
        <v>1</v>
      </c>
      <c r="B7" s="7" t="s">
        <v>17</v>
      </c>
      <c r="C7" s="6">
        <v>3</v>
      </c>
      <c r="D7" s="8">
        <f>1+$C$1*(INDEX(日因子!$C:$C,A7+1)+0.4*INDEX(时纹理!$B:$H,C7+2,A7))</f>
        <v>0.969008</v>
      </c>
    </row>
    <row r="8" spans="1:4">
      <c r="A8" s="6">
        <v>1</v>
      </c>
      <c r="B8" s="7" t="s">
        <v>17</v>
      </c>
      <c r="C8" s="6">
        <v>4</v>
      </c>
      <c r="D8" s="8">
        <f>1+$C$1*(INDEX(日因子!$C:$C,A8+1)+0.4*INDEX(时纹理!$B:$H,C8+2,A8))</f>
        <v>0.99896</v>
      </c>
    </row>
    <row r="9" spans="1:4">
      <c r="A9" s="6">
        <v>1</v>
      </c>
      <c r="B9" s="7" t="s">
        <v>17</v>
      </c>
      <c r="C9" s="6">
        <v>5</v>
      </c>
      <c r="D9" s="8">
        <f>1+$C$1*(INDEX(日因子!$C:$C,A9+1)+0.4*INDEX(时纹理!$B:$H,C9+2,A9))</f>
        <v>1.009744</v>
      </c>
    </row>
    <row r="10" spans="1:4">
      <c r="A10" s="6">
        <v>1</v>
      </c>
      <c r="B10" s="7" t="s">
        <v>17</v>
      </c>
      <c r="C10" s="6">
        <v>6</v>
      </c>
      <c r="D10" s="8">
        <f>1+$C$1*(INDEX(日因子!$C:$C,A10+1)+0.4*INDEX(时纹理!$B:$H,C10+2,A10))</f>
        <v>0.992016</v>
      </c>
    </row>
    <row r="11" spans="1:4">
      <c r="A11" s="6">
        <v>1</v>
      </c>
      <c r="B11" s="7" t="s">
        <v>17</v>
      </c>
      <c r="C11" s="6">
        <v>7</v>
      </c>
      <c r="D11" s="8">
        <f>1+$C$1*(INDEX(日因子!$C:$C,A11+1)+0.4*INDEX(时纹理!$B:$H,C11+2,A11))</f>
        <v>1.019856</v>
      </c>
    </row>
    <row r="12" spans="1:4">
      <c r="A12" s="6">
        <v>1</v>
      </c>
      <c r="B12" s="7" t="s">
        <v>17</v>
      </c>
      <c r="C12" s="6">
        <v>8</v>
      </c>
      <c r="D12" s="8">
        <f>1+$C$1*(INDEX(日因子!$C:$C,A12+1)+0.4*INDEX(时纹理!$B:$H,C12+2,A12))</f>
        <v>0.970896</v>
      </c>
    </row>
    <row r="13" spans="1:4">
      <c r="A13" s="6">
        <v>1</v>
      </c>
      <c r="B13" s="7" t="s">
        <v>17</v>
      </c>
      <c r="C13" s="6">
        <v>9</v>
      </c>
      <c r="D13" s="8">
        <f>1+$C$1*(INDEX(日因子!$C:$C,A13+1)+0.4*INDEX(时纹理!$B:$H,C13+2,A13))</f>
        <v>0.991536</v>
      </c>
    </row>
    <row r="14" spans="1:4">
      <c r="A14" s="6">
        <v>1</v>
      </c>
      <c r="B14" s="7" t="s">
        <v>17</v>
      </c>
      <c r="C14" s="6">
        <v>10</v>
      </c>
      <c r="D14" s="8">
        <f>1+$C$1*(INDEX(日因子!$C:$C,A14+1)+0.4*INDEX(时纹理!$B:$H,C14+2,A14))</f>
        <v>0.975376</v>
      </c>
    </row>
    <row r="15" spans="1:4">
      <c r="A15" s="6">
        <v>1</v>
      </c>
      <c r="B15" s="7" t="s">
        <v>17</v>
      </c>
      <c r="C15" s="6">
        <v>11</v>
      </c>
      <c r="D15" s="8">
        <f>1+$C$1*(INDEX(日因子!$C:$C,A15+1)+0.4*INDEX(时纹理!$B:$H,C15+2,A15))</f>
        <v>0.979824</v>
      </c>
    </row>
    <row r="16" spans="1:4">
      <c r="A16" s="6">
        <v>1</v>
      </c>
      <c r="B16" s="7" t="s">
        <v>17</v>
      </c>
      <c r="C16" s="6">
        <v>12</v>
      </c>
      <c r="D16" s="8">
        <f>1+$C$1*(INDEX(日因子!$C:$C,A16+1)+0.4*INDEX(时纹理!$B:$H,C16+2,A16))</f>
        <v>0.965776</v>
      </c>
    </row>
    <row r="17" spans="1:4">
      <c r="A17" s="6">
        <v>1</v>
      </c>
      <c r="B17" s="7" t="s">
        <v>17</v>
      </c>
      <c r="C17" s="6">
        <v>13</v>
      </c>
      <c r="D17" s="8">
        <f>1+$C$1*(INDEX(日因子!$C:$C,A17+1)+0.4*INDEX(时纹理!$B:$H,C17+2,A17))</f>
        <v>0.973616</v>
      </c>
    </row>
    <row r="18" spans="1:4">
      <c r="A18" s="6">
        <v>1</v>
      </c>
      <c r="B18" s="7" t="s">
        <v>17</v>
      </c>
      <c r="C18" s="6">
        <v>14</v>
      </c>
      <c r="D18" s="8">
        <f>1+$C$1*(INDEX(日因子!$C:$C,A18+1)+0.4*INDEX(时纹理!$B:$H,C18+2,A18))</f>
        <v>0.925488</v>
      </c>
    </row>
    <row r="19" spans="1:4">
      <c r="A19" s="6">
        <v>1</v>
      </c>
      <c r="B19" s="7" t="s">
        <v>17</v>
      </c>
      <c r="C19" s="6">
        <v>15</v>
      </c>
      <c r="D19" s="8">
        <f>1+$C$1*(INDEX(日因子!$C:$C,A19+1)+0.4*INDEX(时纹理!$B:$H,C19+2,A19))</f>
        <v>0.95864</v>
      </c>
    </row>
    <row r="20" spans="1:4">
      <c r="A20" s="6">
        <v>1</v>
      </c>
      <c r="B20" s="7" t="s">
        <v>17</v>
      </c>
      <c r="C20" s="6">
        <v>16</v>
      </c>
      <c r="D20" s="8">
        <f>1+$C$1*(INDEX(日因子!$C:$C,A20+1)+0.4*INDEX(时纹理!$B:$H,C20+2,A20))</f>
        <v>0.950448</v>
      </c>
    </row>
    <row r="21" spans="1:4">
      <c r="A21" s="6">
        <v>1</v>
      </c>
      <c r="B21" s="7" t="s">
        <v>17</v>
      </c>
      <c r="C21" s="6">
        <v>17</v>
      </c>
      <c r="D21" s="8">
        <f>1+$C$1*(INDEX(日因子!$C:$C,A21+1)+0.4*INDEX(时纹理!$B:$H,C21+2,A21))</f>
        <v>0.968528</v>
      </c>
    </row>
    <row r="22" spans="1:4">
      <c r="A22" s="6">
        <v>1</v>
      </c>
      <c r="B22" s="7" t="s">
        <v>17</v>
      </c>
      <c r="C22" s="6">
        <v>18</v>
      </c>
      <c r="D22" s="8">
        <f>1+$C$1*(INDEX(日因子!$C:$C,A22+1)+0.4*INDEX(时纹理!$B:$H,C22+2,A22))</f>
        <v>0.90424</v>
      </c>
    </row>
    <row r="23" spans="1:4">
      <c r="A23" s="6">
        <v>1</v>
      </c>
      <c r="B23" s="7" t="s">
        <v>17</v>
      </c>
      <c r="C23" s="6">
        <v>19</v>
      </c>
      <c r="D23" s="8">
        <f>1+$C$1*(INDEX(日因子!$C:$C,A23+1)+0.4*INDEX(时纹理!$B:$H,C23+2,A23))</f>
        <v>0.9796</v>
      </c>
    </row>
    <row r="24" spans="1:4">
      <c r="A24" s="6">
        <v>1</v>
      </c>
      <c r="B24" s="7" t="s">
        <v>17</v>
      </c>
      <c r="C24" s="6">
        <v>20</v>
      </c>
      <c r="D24" s="8">
        <f>1+$C$1*(INDEX(日因子!$C:$C,A24+1)+0.4*INDEX(时纹理!$B:$H,C24+2,A24))</f>
        <v>1.024976</v>
      </c>
    </row>
    <row r="25" spans="1:4">
      <c r="A25" s="6">
        <v>1</v>
      </c>
      <c r="B25" s="7" t="s">
        <v>17</v>
      </c>
      <c r="C25" s="6">
        <v>21</v>
      </c>
      <c r="D25" s="8">
        <f>1+$C$1*(INDEX(日因子!$C:$C,A25+1)+0.4*INDEX(时纹理!$B:$H,C25+2,A25))</f>
        <v>0.99464</v>
      </c>
    </row>
    <row r="26" spans="1:4">
      <c r="A26" s="6">
        <v>1</v>
      </c>
      <c r="B26" s="7" t="s">
        <v>17</v>
      </c>
      <c r="C26" s="6">
        <v>22</v>
      </c>
      <c r="D26" s="8">
        <f>1+$C$1*(INDEX(日因子!$C:$C,A26+1)+0.4*INDEX(时纹理!$B:$H,C26+2,A26))</f>
        <v>1.019184</v>
      </c>
    </row>
    <row r="27" spans="1:4">
      <c r="A27" s="6">
        <v>1</v>
      </c>
      <c r="B27" s="7" t="s">
        <v>17</v>
      </c>
      <c r="C27" s="6">
        <v>23</v>
      </c>
      <c r="D27" s="8">
        <f>1+$C$1*(INDEX(日因子!$C:$C,A27+1)+0.4*INDEX(时纹理!$B:$H,C27+2,A27))</f>
        <v>1.051088</v>
      </c>
    </row>
    <row r="28" spans="1:4">
      <c r="A28" s="6">
        <v>2</v>
      </c>
      <c r="B28" s="7" t="s">
        <v>18</v>
      </c>
      <c r="C28" s="6">
        <v>0</v>
      </c>
      <c r="D28" s="8">
        <f>1+$C$1*(INDEX(日因子!$C:$C,A28+1)+0.4*INDEX(时纹理!$B:$H,C28+2,A28))</f>
        <v>0.872896</v>
      </c>
    </row>
    <row r="29" spans="1:4">
      <c r="A29" s="6">
        <v>2</v>
      </c>
      <c r="B29" s="7" t="s">
        <v>18</v>
      </c>
      <c r="C29" s="6">
        <v>1</v>
      </c>
      <c r="D29" s="8">
        <f>1+$C$1*(INDEX(日因子!$C:$C,A29+1)+0.4*INDEX(时纹理!$B:$H,C29+2,A29))</f>
        <v>0.837728</v>
      </c>
    </row>
    <row r="30" spans="1:4">
      <c r="A30" s="6">
        <v>2</v>
      </c>
      <c r="B30" s="7" t="s">
        <v>18</v>
      </c>
      <c r="C30" s="6">
        <v>2</v>
      </c>
      <c r="D30" s="8">
        <f>1+$C$1*(INDEX(日因子!$C:$C,A30+1)+0.4*INDEX(时纹理!$B:$H,C30+2,A30))</f>
        <v>0.858432</v>
      </c>
    </row>
    <row r="31" spans="1:4">
      <c r="A31" s="6">
        <v>2</v>
      </c>
      <c r="B31" s="7" t="s">
        <v>18</v>
      </c>
      <c r="C31" s="6">
        <v>3</v>
      </c>
      <c r="D31" s="8">
        <f>1+$C$1*(INDEX(日因子!$C:$C,A31+1)+0.4*INDEX(时纹理!$B:$H,C31+2,A31))</f>
        <v>0.849408</v>
      </c>
    </row>
    <row r="32" spans="1:4">
      <c r="A32" s="6">
        <v>2</v>
      </c>
      <c r="B32" s="7" t="s">
        <v>18</v>
      </c>
      <c r="C32" s="6">
        <v>4</v>
      </c>
      <c r="D32" s="8">
        <f>1+$C$1*(INDEX(日因子!$C:$C,A32+1)+0.4*INDEX(时纹理!$B:$H,C32+2,A32))</f>
        <v>0.84416</v>
      </c>
    </row>
    <row r="33" spans="1:4">
      <c r="A33" s="6">
        <v>2</v>
      </c>
      <c r="B33" s="7" t="s">
        <v>18</v>
      </c>
      <c r="C33" s="6">
        <v>5</v>
      </c>
      <c r="D33" s="8">
        <f>1+$C$1*(INDEX(日因子!$C:$C,A33+1)+0.4*INDEX(时纹理!$B:$H,C33+2,A33))</f>
        <v>0.873408</v>
      </c>
    </row>
    <row r="34" spans="1:4">
      <c r="A34" s="6">
        <v>2</v>
      </c>
      <c r="B34" s="7" t="s">
        <v>18</v>
      </c>
      <c r="C34" s="6">
        <v>6</v>
      </c>
      <c r="D34" s="8">
        <f>1+$C$1*(INDEX(日因子!$C:$C,A34+1)+0.4*INDEX(时纹理!$B:$H,C34+2,A34))</f>
        <v>0.898368</v>
      </c>
    </row>
    <row r="35" spans="1:4">
      <c r="A35" s="6">
        <v>2</v>
      </c>
      <c r="B35" s="7" t="s">
        <v>18</v>
      </c>
      <c r="C35" s="6">
        <v>7</v>
      </c>
      <c r="D35" s="8">
        <f>1+$C$1*(INDEX(日因子!$C:$C,A35+1)+0.4*INDEX(时纹理!$B:$H,C35+2,A35))</f>
        <v>0.89648</v>
      </c>
    </row>
    <row r="36" spans="1:4">
      <c r="A36" s="6">
        <v>2</v>
      </c>
      <c r="B36" s="7" t="s">
        <v>18</v>
      </c>
      <c r="C36" s="6">
        <v>8</v>
      </c>
      <c r="D36" s="8">
        <f>1+$C$1*(INDEX(日因子!$C:$C,A36+1)+0.4*INDEX(时纹理!$B:$H,C36+2,A36))</f>
        <v>0.891296</v>
      </c>
    </row>
    <row r="37" spans="1:4">
      <c r="A37" s="6">
        <v>2</v>
      </c>
      <c r="B37" s="7" t="s">
        <v>18</v>
      </c>
      <c r="C37" s="6">
        <v>9</v>
      </c>
      <c r="D37" s="8">
        <f>1+$C$1*(INDEX(日因子!$C:$C,A37+1)+0.4*INDEX(时纹理!$B:$H,C37+2,A37))</f>
        <v>0.934144</v>
      </c>
    </row>
    <row r="38" spans="1:4">
      <c r="A38" s="6">
        <v>2</v>
      </c>
      <c r="B38" s="7" t="s">
        <v>18</v>
      </c>
      <c r="C38" s="6">
        <v>10</v>
      </c>
      <c r="D38" s="8">
        <f>1+$C$1*(INDEX(日因子!$C:$C,A38+1)+0.4*INDEX(时纹理!$B:$H,C38+2,A38))</f>
        <v>0.912544</v>
      </c>
    </row>
    <row r="39" spans="1:4">
      <c r="A39" s="6">
        <v>2</v>
      </c>
      <c r="B39" s="7" t="s">
        <v>18</v>
      </c>
      <c r="C39" s="6">
        <v>11</v>
      </c>
      <c r="D39" s="8">
        <f>1+$C$1*(INDEX(日因子!$C:$C,A39+1)+0.4*INDEX(时纹理!$B:$H,C39+2,A39))</f>
        <v>0.933984</v>
      </c>
    </row>
    <row r="40" spans="1:4">
      <c r="A40" s="6">
        <v>2</v>
      </c>
      <c r="B40" s="7" t="s">
        <v>18</v>
      </c>
      <c r="C40" s="6">
        <v>12</v>
      </c>
      <c r="D40" s="8">
        <f>1+$C$1*(INDEX(日因子!$C:$C,A40+1)+0.4*INDEX(时纹理!$B:$H,C40+2,A40))</f>
        <v>0.904384</v>
      </c>
    </row>
    <row r="41" spans="1:4">
      <c r="A41" s="6">
        <v>2</v>
      </c>
      <c r="B41" s="7" t="s">
        <v>18</v>
      </c>
      <c r="C41" s="6">
        <v>13</v>
      </c>
      <c r="D41" s="8">
        <f>1+$C$1*(INDEX(日因子!$C:$C,A41+1)+0.4*INDEX(时纹理!$B:$H,C41+2,A41))</f>
        <v>0.894848</v>
      </c>
    </row>
    <row r="42" spans="1:4">
      <c r="A42" s="6">
        <v>2</v>
      </c>
      <c r="B42" s="7" t="s">
        <v>18</v>
      </c>
      <c r="C42" s="6">
        <v>14</v>
      </c>
      <c r="D42" s="8">
        <f>1+$C$1*(INDEX(日因子!$C:$C,A42+1)+0.4*INDEX(时纹理!$B:$H,C42+2,A42))</f>
        <v>0.938432</v>
      </c>
    </row>
    <row r="43" spans="1:4">
      <c r="A43" s="6">
        <v>2</v>
      </c>
      <c r="B43" s="7" t="s">
        <v>18</v>
      </c>
      <c r="C43" s="6">
        <v>15</v>
      </c>
      <c r="D43" s="8">
        <f>1+$C$1*(INDEX(日因子!$C:$C,A43+1)+0.4*INDEX(时纹理!$B:$H,C43+2,A43))</f>
        <v>0.91776</v>
      </c>
    </row>
    <row r="44" spans="1:4">
      <c r="A44" s="6">
        <v>2</v>
      </c>
      <c r="B44" s="7" t="s">
        <v>18</v>
      </c>
      <c r="C44" s="6">
        <v>16</v>
      </c>
      <c r="D44" s="8">
        <f>1+$C$1*(INDEX(日因子!$C:$C,A44+1)+0.4*INDEX(时纹理!$B:$H,C44+2,A44))</f>
        <v>0.900256</v>
      </c>
    </row>
    <row r="45" spans="1:4">
      <c r="A45" s="6">
        <v>2</v>
      </c>
      <c r="B45" s="7" t="s">
        <v>18</v>
      </c>
      <c r="C45" s="6">
        <v>17</v>
      </c>
      <c r="D45" s="8">
        <f>1+$C$1*(INDEX(日因子!$C:$C,A45+1)+0.4*INDEX(时纹理!$B:$H,C45+2,A45))</f>
        <v>0.9248</v>
      </c>
    </row>
    <row r="46" spans="1:4">
      <c r="A46" s="6">
        <v>2</v>
      </c>
      <c r="B46" s="7" t="s">
        <v>18</v>
      </c>
      <c r="C46" s="6">
        <v>18</v>
      </c>
      <c r="D46" s="8">
        <f>1+$C$1*(INDEX(日因子!$C:$C,A46+1)+0.4*INDEX(时纹理!$B:$H,C46+2,A46))</f>
        <v>0.96528</v>
      </c>
    </row>
    <row r="47" spans="1:4">
      <c r="A47" s="6">
        <v>2</v>
      </c>
      <c r="B47" s="7" t="s">
        <v>18</v>
      </c>
      <c r="C47" s="6">
        <v>19</v>
      </c>
      <c r="D47" s="8">
        <f>1+$C$1*(INDEX(日因子!$C:$C,A47+1)+0.4*INDEX(时纹理!$B:$H,C47+2,A47))</f>
        <v>0.928192</v>
      </c>
    </row>
    <row r="48" spans="1:4">
      <c r="A48" s="6">
        <v>2</v>
      </c>
      <c r="B48" s="7" t="s">
        <v>18</v>
      </c>
      <c r="C48" s="6">
        <v>20</v>
      </c>
      <c r="D48" s="8">
        <f>1+$C$1*(INDEX(日因子!$C:$C,A48+1)+0.4*INDEX(时纹理!$B:$H,C48+2,A48))</f>
        <v>0.870368</v>
      </c>
    </row>
    <row r="49" spans="1:4">
      <c r="A49" s="6">
        <v>2</v>
      </c>
      <c r="B49" s="7" t="s">
        <v>18</v>
      </c>
      <c r="C49" s="6">
        <v>21</v>
      </c>
      <c r="D49" s="8">
        <f>1+$C$1*(INDEX(日因子!$C:$C,A49+1)+0.4*INDEX(时纹理!$B:$H,C49+2,A49))</f>
        <v>0.908192</v>
      </c>
    </row>
    <row r="50" spans="1:4">
      <c r="A50" s="6">
        <v>2</v>
      </c>
      <c r="B50" s="7" t="s">
        <v>18</v>
      </c>
      <c r="C50" s="6">
        <v>22</v>
      </c>
      <c r="D50" s="8">
        <f>1+$C$1*(INDEX(日因子!$C:$C,A50+1)+0.4*INDEX(时纹理!$B:$H,C50+2,A50))</f>
        <v>0.8816</v>
      </c>
    </row>
    <row r="51" spans="1:4">
      <c r="A51" s="6">
        <v>2</v>
      </c>
      <c r="B51" s="7" t="s">
        <v>18</v>
      </c>
      <c r="C51" s="6">
        <v>23</v>
      </c>
      <c r="D51" s="8">
        <f>1+$C$1*(INDEX(日因子!$C:$C,A51+1)+0.4*INDEX(时纹理!$B:$H,C51+2,A51))</f>
        <v>0.870912</v>
      </c>
    </row>
    <row r="52" spans="1:4">
      <c r="A52" s="6">
        <v>3</v>
      </c>
      <c r="B52" s="7" t="s">
        <v>19</v>
      </c>
      <c r="C52" s="6">
        <v>0</v>
      </c>
      <c r="D52" s="8">
        <f>1+$C$1*(INDEX(日因子!$C:$C,A52+1)+0.4*INDEX(时纹理!$B:$H,C52+2,A52))</f>
        <v>0.924704</v>
      </c>
    </row>
    <row r="53" spans="1:4">
      <c r="A53" s="6">
        <v>3</v>
      </c>
      <c r="B53" s="7" t="s">
        <v>19</v>
      </c>
      <c r="C53" s="6">
        <v>1</v>
      </c>
      <c r="D53" s="8">
        <f>1+$C$1*(INDEX(日因子!$C:$C,A53+1)+0.4*INDEX(时纹理!$B:$H,C53+2,A53))</f>
        <v>0.90416</v>
      </c>
    </row>
    <row r="54" spans="1:4">
      <c r="A54" s="6">
        <v>3</v>
      </c>
      <c r="B54" s="7" t="s">
        <v>19</v>
      </c>
      <c r="C54" s="6">
        <v>2</v>
      </c>
      <c r="D54" s="8">
        <f>1+$C$1*(INDEX(日因子!$C:$C,A54+1)+0.4*INDEX(时纹理!$B:$H,C54+2,A54))</f>
        <v>0.910048</v>
      </c>
    </row>
    <row r="55" spans="1:4">
      <c r="A55" s="6">
        <v>3</v>
      </c>
      <c r="B55" s="7" t="s">
        <v>19</v>
      </c>
      <c r="C55" s="6">
        <v>3</v>
      </c>
      <c r="D55" s="8">
        <f>1+$C$1*(INDEX(日因子!$C:$C,A55+1)+0.4*INDEX(时纹理!$B:$H,C55+2,A55))</f>
        <v>0.945088</v>
      </c>
    </row>
    <row r="56" spans="1:4">
      <c r="A56" s="6">
        <v>3</v>
      </c>
      <c r="B56" s="7" t="s">
        <v>19</v>
      </c>
      <c r="C56" s="6">
        <v>4</v>
      </c>
      <c r="D56" s="8">
        <f>1+$C$1*(INDEX(日因子!$C:$C,A56+1)+0.4*INDEX(时纹理!$B:$H,C56+2,A56))</f>
        <v>0.94592</v>
      </c>
    </row>
    <row r="57" spans="1:4">
      <c r="A57" s="6">
        <v>3</v>
      </c>
      <c r="B57" s="7" t="s">
        <v>19</v>
      </c>
      <c r="C57" s="6">
        <v>5</v>
      </c>
      <c r="D57" s="8">
        <f>1+$C$1*(INDEX(日因子!$C:$C,A57+1)+0.4*INDEX(时纹理!$B:$H,C57+2,A57))</f>
        <v>0.980384</v>
      </c>
    </row>
    <row r="58" spans="1:4">
      <c r="A58" s="6">
        <v>3</v>
      </c>
      <c r="B58" s="7" t="s">
        <v>19</v>
      </c>
      <c r="C58" s="6">
        <v>6</v>
      </c>
      <c r="D58" s="8">
        <f>1+$C$1*(INDEX(日因子!$C:$C,A58+1)+0.4*INDEX(时纹理!$B:$H,C58+2,A58))</f>
        <v>1.002816</v>
      </c>
    </row>
    <row r="59" spans="1:4">
      <c r="A59" s="6">
        <v>3</v>
      </c>
      <c r="B59" s="7" t="s">
        <v>19</v>
      </c>
      <c r="C59" s="6">
        <v>7</v>
      </c>
      <c r="D59" s="8">
        <f>1+$C$1*(INDEX(日因子!$C:$C,A59+1)+0.4*INDEX(时纹理!$B:$H,C59+2,A59))</f>
        <v>0.951456</v>
      </c>
    </row>
    <row r="60" spans="1:4">
      <c r="A60" s="6">
        <v>3</v>
      </c>
      <c r="B60" s="7" t="s">
        <v>19</v>
      </c>
      <c r="C60" s="6">
        <v>8</v>
      </c>
      <c r="D60" s="8">
        <f>1+$C$1*(INDEX(日因子!$C:$C,A60+1)+0.4*INDEX(时纹理!$B:$H,C60+2,A60))</f>
        <v>0.993248</v>
      </c>
    </row>
    <row r="61" spans="1:4">
      <c r="A61" s="6">
        <v>3</v>
      </c>
      <c r="B61" s="7" t="s">
        <v>19</v>
      </c>
      <c r="C61" s="6">
        <v>9</v>
      </c>
      <c r="D61" s="8">
        <f>1+$C$1*(INDEX(日因子!$C:$C,A61+1)+0.4*INDEX(时纹理!$B:$H,C61+2,A61))</f>
        <v>0.963136</v>
      </c>
    </row>
    <row r="62" spans="1:4">
      <c r="A62" s="6">
        <v>3</v>
      </c>
      <c r="B62" s="7" t="s">
        <v>19</v>
      </c>
      <c r="C62" s="6">
        <v>10</v>
      </c>
      <c r="D62" s="8">
        <f>1+$C$1*(INDEX(日因子!$C:$C,A62+1)+0.4*INDEX(时纹理!$B:$H,C62+2,A62))</f>
        <v>0.961376</v>
      </c>
    </row>
    <row r="63" spans="1:4">
      <c r="A63" s="6">
        <v>3</v>
      </c>
      <c r="B63" s="7" t="s">
        <v>19</v>
      </c>
      <c r="C63" s="6">
        <v>11</v>
      </c>
      <c r="D63" s="8">
        <f>1+$C$1*(INDEX(日因子!$C:$C,A63+1)+0.4*INDEX(时纹理!$B:$H,C63+2,A63))</f>
        <v>0.996928</v>
      </c>
    </row>
    <row r="64" spans="1:4">
      <c r="A64" s="6">
        <v>3</v>
      </c>
      <c r="B64" s="7" t="s">
        <v>19</v>
      </c>
      <c r="C64" s="6">
        <v>12</v>
      </c>
      <c r="D64" s="8">
        <f>1+$C$1*(INDEX(日因子!$C:$C,A64+1)+0.4*INDEX(时纹理!$B:$H,C64+2,A64))</f>
        <v>0.992224</v>
      </c>
    </row>
    <row r="65" spans="1:4">
      <c r="A65" s="6">
        <v>3</v>
      </c>
      <c r="B65" s="7" t="s">
        <v>19</v>
      </c>
      <c r="C65" s="6">
        <v>13</v>
      </c>
      <c r="D65" s="8">
        <f>1+$C$1*(INDEX(日因子!$C:$C,A65+1)+0.4*INDEX(时纹理!$B:$H,C65+2,A65))</f>
        <v>0.991648</v>
      </c>
    </row>
    <row r="66" spans="1:4">
      <c r="A66" s="6">
        <v>3</v>
      </c>
      <c r="B66" s="7" t="s">
        <v>19</v>
      </c>
      <c r="C66" s="6">
        <v>14</v>
      </c>
      <c r="D66" s="8">
        <f>1+$C$1*(INDEX(日因子!$C:$C,A66+1)+0.4*INDEX(时纹理!$B:$H,C66+2,A66))</f>
        <v>0.98752</v>
      </c>
    </row>
    <row r="67" spans="1:4">
      <c r="A67" s="6">
        <v>3</v>
      </c>
      <c r="B67" s="7" t="s">
        <v>19</v>
      </c>
      <c r="C67" s="6">
        <v>15</v>
      </c>
      <c r="D67" s="8">
        <f>1+$C$1*(INDEX(日因子!$C:$C,A67+1)+0.4*INDEX(时纹理!$B:$H,C67+2,A67))</f>
        <v>1.021024</v>
      </c>
    </row>
    <row r="68" spans="1:4">
      <c r="A68" s="6">
        <v>3</v>
      </c>
      <c r="B68" s="7" t="s">
        <v>19</v>
      </c>
      <c r="C68" s="6">
        <v>16</v>
      </c>
      <c r="D68" s="8">
        <f>1+$C$1*(INDEX(日因子!$C:$C,A68+1)+0.4*INDEX(时纹理!$B:$H,C68+2,A68))</f>
        <v>0.96704</v>
      </c>
    </row>
    <row r="69" spans="1:4">
      <c r="A69" s="6">
        <v>3</v>
      </c>
      <c r="B69" s="7" t="s">
        <v>19</v>
      </c>
      <c r="C69" s="6">
        <v>17</v>
      </c>
      <c r="D69" s="8">
        <f>1+$C$1*(INDEX(日因子!$C:$C,A69+1)+0.4*INDEX(时纹理!$B:$H,C69+2,A69))</f>
        <v>0.948864</v>
      </c>
    </row>
    <row r="70" spans="1:4">
      <c r="A70" s="6">
        <v>3</v>
      </c>
      <c r="B70" s="7" t="s">
        <v>19</v>
      </c>
      <c r="C70" s="6">
        <v>18</v>
      </c>
      <c r="D70" s="8">
        <f>1+$C$1*(INDEX(日因子!$C:$C,A70+1)+0.4*INDEX(时纹理!$B:$H,C70+2,A70))</f>
        <v>0.940064</v>
      </c>
    </row>
    <row r="71" spans="1:4">
      <c r="A71" s="6">
        <v>3</v>
      </c>
      <c r="B71" s="7" t="s">
        <v>19</v>
      </c>
      <c r="C71" s="6">
        <v>19</v>
      </c>
      <c r="D71" s="8">
        <f>1+$C$1*(INDEX(日因子!$C:$C,A71+1)+0.4*INDEX(时纹理!$B:$H,C71+2,A71))</f>
        <v>0.943104</v>
      </c>
    </row>
    <row r="72" spans="1:4">
      <c r="A72" s="6">
        <v>3</v>
      </c>
      <c r="B72" s="7" t="s">
        <v>19</v>
      </c>
      <c r="C72" s="6">
        <v>20</v>
      </c>
      <c r="D72" s="8">
        <f>1+$C$1*(INDEX(日因子!$C:$C,A72+1)+0.4*INDEX(时纹理!$B:$H,C72+2,A72))</f>
        <v>0.91664</v>
      </c>
    </row>
    <row r="73" spans="1:4">
      <c r="A73" s="6">
        <v>3</v>
      </c>
      <c r="B73" s="7" t="s">
        <v>19</v>
      </c>
      <c r="C73" s="6">
        <v>21</v>
      </c>
      <c r="D73" s="8">
        <f>1+$C$1*(INDEX(日因子!$C:$C,A73+1)+0.4*INDEX(时纹理!$B:$H,C73+2,A73))</f>
        <v>0.915872</v>
      </c>
    </row>
    <row r="74" spans="1:4">
      <c r="A74" s="6">
        <v>3</v>
      </c>
      <c r="B74" s="7" t="s">
        <v>19</v>
      </c>
      <c r="C74" s="6">
        <v>22</v>
      </c>
      <c r="D74" s="8">
        <f>1+$C$1*(INDEX(日因子!$C:$C,A74+1)+0.4*INDEX(时纹理!$B:$H,C74+2,A74))</f>
        <v>0.926208</v>
      </c>
    </row>
    <row r="75" spans="1:4">
      <c r="A75" s="6">
        <v>3</v>
      </c>
      <c r="B75" s="7" t="s">
        <v>19</v>
      </c>
      <c r="C75" s="6">
        <v>23</v>
      </c>
      <c r="D75" s="8">
        <f>1+$C$1*(INDEX(日因子!$C:$C,A75+1)+0.4*INDEX(时纹理!$B:$H,C75+2,A75))</f>
        <v>0.941344</v>
      </c>
    </row>
    <row r="76" spans="1:4">
      <c r="A76" s="6">
        <v>4</v>
      </c>
      <c r="B76" s="7" t="s">
        <v>20</v>
      </c>
      <c r="C76" s="6">
        <v>0</v>
      </c>
      <c r="D76" s="8">
        <f>1+$C$1*(INDEX(日因子!$C:$C,A76+1)+0.4*INDEX(时纹理!$B:$H,C76+2,A76))</f>
        <v>0.948768</v>
      </c>
    </row>
    <row r="77" spans="1:4">
      <c r="A77" s="6">
        <v>4</v>
      </c>
      <c r="B77" s="7" t="s">
        <v>20</v>
      </c>
      <c r="C77" s="6">
        <v>1</v>
      </c>
      <c r="D77" s="8">
        <f>1+$C$1*(INDEX(日因子!$C:$C,A77+1)+0.4*INDEX(时纹理!$B:$H,C77+2,A77))</f>
        <v>0.984736</v>
      </c>
    </row>
    <row r="78" spans="1:4">
      <c r="A78" s="6">
        <v>4</v>
      </c>
      <c r="B78" s="7" t="s">
        <v>20</v>
      </c>
      <c r="C78" s="6">
        <v>2</v>
      </c>
      <c r="D78" s="8">
        <f>1+$C$1*(INDEX(日因子!$C:$C,A78+1)+0.4*INDEX(时纹理!$B:$H,C78+2,A78))</f>
        <v>0.996672</v>
      </c>
    </row>
    <row r="79" spans="1:4">
      <c r="A79" s="6">
        <v>4</v>
      </c>
      <c r="B79" s="7" t="s">
        <v>20</v>
      </c>
      <c r="C79" s="6">
        <v>3</v>
      </c>
      <c r="D79" s="8">
        <f>1+$C$1*(INDEX(日因子!$C:$C,A79+1)+0.4*INDEX(时纹理!$B:$H,C79+2,A79))</f>
        <v>0.978784</v>
      </c>
    </row>
    <row r="80" spans="1:4">
      <c r="A80" s="6">
        <v>4</v>
      </c>
      <c r="B80" s="7" t="s">
        <v>20</v>
      </c>
      <c r="C80" s="6">
        <v>4</v>
      </c>
      <c r="D80" s="8">
        <f>1+$C$1*(INDEX(日因子!$C:$C,A80+1)+0.4*INDEX(时纹理!$B:$H,C80+2,A80))</f>
        <v>0.982016</v>
      </c>
    </row>
    <row r="81" spans="1:4">
      <c r="A81" s="6">
        <v>4</v>
      </c>
      <c r="B81" s="7" t="s">
        <v>20</v>
      </c>
      <c r="C81" s="6">
        <v>5</v>
      </c>
      <c r="D81" s="8">
        <f>1+$C$1*(INDEX(日因子!$C:$C,A81+1)+0.4*INDEX(时纹理!$B:$H,C81+2,A81))</f>
        <v>1.009376</v>
      </c>
    </row>
    <row r="82" spans="1:4">
      <c r="A82" s="6">
        <v>4</v>
      </c>
      <c r="B82" s="7" t="s">
        <v>20</v>
      </c>
      <c r="C82" s="6">
        <v>6</v>
      </c>
      <c r="D82" s="8">
        <f>1+$C$1*(INDEX(日因子!$C:$C,A82+1)+0.4*INDEX(时纹理!$B:$H,C82+2,A82))</f>
        <v>1.003936</v>
      </c>
    </row>
    <row r="83" spans="1:4">
      <c r="A83" s="6">
        <v>4</v>
      </c>
      <c r="B83" s="7" t="s">
        <v>20</v>
      </c>
      <c r="C83" s="6">
        <v>7</v>
      </c>
      <c r="D83" s="8">
        <f>1+$C$1*(INDEX(日因子!$C:$C,A83+1)+0.4*INDEX(时纹理!$B:$H,C83+2,A83))</f>
        <v>0.96064</v>
      </c>
    </row>
    <row r="84" spans="1:4">
      <c r="A84" s="6">
        <v>4</v>
      </c>
      <c r="B84" s="7" t="s">
        <v>20</v>
      </c>
      <c r="C84" s="6">
        <v>8</v>
      </c>
      <c r="D84" s="8">
        <f>1+$C$1*(INDEX(日因子!$C:$C,A84+1)+0.4*INDEX(时纹理!$B:$H,C84+2,A84))</f>
        <v>0.967136</v>
      </c>
    </row>
    <row r="85" spans="1:4">
      <c r="A85" s="6">
        <v>4</v>
      </c>
      <c r="B85" s="7" t="s">
        <v>20</v>
      </c>
      <c r="C85" s="6">
        <v>9</v>
      </c>
      <c r="D85" s="8">
        <f>1+$C$1*(INDEX(日因子!$C:$C,A85+1)+0.4*INDEX(时纹理!$B:$H,C85+2,A85))</f>
        <v>0.948704</v>
      </c>
    </row>
    <row r="86" spans="1:4">
      <c r="A86" s="6">
        <v>4</v>
      </c>
      <c r="B86" s="7" t="s">
        <v>20</v>
      </c>
      <c r="C86" s="6">
        <v>10</v>
      </c>
      <c r="D86" s="8">
        <f>1+$C$1*(INDEX(日因子!$C:$C,A86+1)+0.4*INDEX(时纹理!$B:$H,C86+2,A86))</f>
        <v>0.916096</v>
      </c>
    </row>
    <row r="87" spans="1:4">
      <c r="A87" s="6">
        <v>4</v>
      </c>
      <c r="B87" s="7" t="s">
        <v>20</v>
      </c>
      <c r="C87" s="6">
        <v>11</v>
      </c>
      <c r="D87" s="8">
        <f>1+$C$1*(INDEX(日因子!$C:$C,A87+1)+0.4*INDEX(时纹理!$B:$H,C87+2,A87))</f>
        <v>0.90768</v>
      </c>
    </row>
    <row r="88" spans="1:4">
      <c r="A88" s="6">
        <v>4</v>
      </c>
      <c r="B88" s="7" t="s">
        <v>20</v>
      </c>
      <c r="C88" s="6">
        <v>12</v>
      </c>
      <c r="D88" s="8">
        <f>1+$C$1*(INDEX(日因子!$C:$C,A88+1)+0.4*INDEX(时纹理!$B:$H,C88+2,A88))</f>
        <v>0.916416</v>
      </c>
    </row>
    <row r="89" spans="1:4">
      <c r="A89" s="6">
        <v>4</v>
      </c>
      <c r="B89" s="7" t="s">
        <v>20</v>
      </c>
      <c r="C89" s="6">
        <v>13</v>
      </c>
      <c r="D89" s="8">
        <f>1+$C$1*(INDEX(日因子!$C:$C,A89+1)+0.4*INDEX(时纹理!$B:$H,C89+2,A89))</f>
        <v>0.91712</v>
      </c>
    </row>
    <row r="90" spans="1:4">
      <c r="A90" s="6">
        <v>4</v>
      </c>
      <c r="B90" s="7" t="s">
        <v>20</v>
      </c>
      <c r="C90" s="6">
        <v>14</v>
      </c>
      <c r="D90" s="8">
        <f>1+$C$1*(INDEX(日因子!$C:$C,A90+1)+0.4*INDEX(时纹理!$B:$H,C90+2,A90))</f>
        <v>0.93664</v>
      </c>
    </row>
    <row r="91" spans="1:4">
      <c r="A91" s="6">
        <v>4</v>
      </c>
      <c r="B91" s="7" t="s">
        <v>20</v>
      </c>
      <c r="C91" s="6">
        <v>15</v>
      </c>
      <c r="D91" s="8">
        <f>1+$C$1*(INDEX(日因子!$C:$C,A91+1)+0.4*INDEX(时纹理!$B:$H,C91+2,A91))</f>
        <v>0.89936</v>
      </c>
    </row>
    <row r="92" spans="1:4">
      <c r="A92" s="6">
        <v>4</v>
      </c>
      <c r="B92" s="7" t="s">
        <v>20</v>
      </c>
      <c r="C92" s="6">
        <v>16</v>
      </c>
      <c r="D92" s="8">
        <f>1+$C$1*(INDEX(日因子!$C:$C,A92+1)+0.4*INDEX(时纹理!$B:$H,C92+2,A92))</f>
        <v>0.923232</v>
      </c>
    </row>
    <row r="93" spans="1:4">
      <c r="A93" s="6">
        <v>4</v>
      </c>
      <c r="B93" s="7" t="s">
        <v>20</v>
      </c>
      <c r="C93" s="6">
        <v>17</v>
      </c>
      <c r="D93" s="8">
        <f>1+$C$1*(INDEX(日因子!$C:$C,A93+1)+0.4*INDEX(时纹理!$B:$H,C93+2,A93))</f>
        <v>0.918016</v>
      </c>
    </row>
    <row r="94" spans="1:4">
      <c r="A94" s="6">
        <v>4</v>
      </c>
      <c r="B94" s="7" t="s">
        <v>20</v>
      </c>
      <c r="C94" s="6">
        <v>18</v>
      </c>
      <c r="D94" s="8">
        <f>1+$C$1*(INDEX(日因子!$C:$C,A94+1)+0.4*INDEX(时纹理!$B:$H,C94+2,A94))</f>
        <v>0.92256</v>
      </c>
    </row>
    <row r="95" spans="1:4">
      <c r="A95" s="6">
        <v>4</v>
      </c>
      <c r="B95" s="7" t="s">
        <v>20</v>
      </c>
      <c r="C95" s="6">
        <v>19</v>
      </c>
      <c r="D95" s="8">
        <f>1+$C$1*(INDEX(日因子!$C:$C,A95+1)+0.4*INDEX(时纹理!$B:$H,C95+2,A95))</f>
        <v>0.930944</v>
      </c>
    </row>
    <row r="96" spans="1:4">
      <c r="A96" s="6">
        <v>4</v>
      </c>
      <c r="B96" s="7" t="s">
        <v>20</v>
      </c>
      <c r="C96" s="6">
        <v>20</v>
      </c>
      <c r="D96" s="8">
        <f>1+$C$1*(INDEX(日因子!$C:$C,A96+1)+0.4*INDEX(时纹理!$B:$H,C96+2,A96))</f>
        <v>0.95072</v>
      </c>
    </row>
    <row r="97" spans="1:4">
      <c r="A97" s="6">
        <v>4</v>
      </c>
      <c r="B97" s="7" t="s">
        <v>20</v>
      </c>
      <c r="C97" s="6">
        <v>21</v>
      </c>
      <c r="D97" s="8">
        <f>1+$C$1*(INDEX(日因子!$C:$C,A97+1)+0.4*INDEX(时纹理!$B:$H,C97+2,A97))</f>
        <v>0.957248</v>
      </c>
    </row>
    <row r="98" spans="1:4">
      <c r="A98" s="6">
        <v>4</v>
      </c>
      <c r="B98" s="7" t="s">
        <v>20</v>
      </c>
      <c r="C98" s="6">
        <v>22</v>
      </c>
      <c r="D98" s="8">
        <f>1+$C$1*(INDEX(日因子!$C:$C,A98+1)+0.4*INDEX(时纹理!$B:$H,C98+2,A98))</f>
        <v>0.987296</v>
      </c>
    </row>
    <row r="99" spans="1:4">
      <c r="A99" s="6">
        <v>4</v>
      </c>
      <c r="B99" s="7" t="s">
        <v>20</v>
      </c>
      <c r="C99" s="6">
        <v>23</v>
      </c>
      <c r="D99" s="8">
        <f>1+$C$1*(INDEX(日因子!$C:$C,A99+1)+0.4*INDEX(时纹理!$B:$H,C99+2,A99))</f>
        <v>0.968544</v>
      </c>
    </row>
    <row r="100" spans="1:4">
      <c r="A100" s="6">
        <v>5</v>
      </c>
      <c r="B100" s="7" t="s">
        <v>21</v>
      </c>
      <c r="C100" s="6">
        <v>0</v>
      </c>
      <c r="D100" s="8">
        <f>1+$C$1*(INDEX(日因子!$C:$C,A100+1)+0.4*INDEX(时纹理!$B:$H,C100+2,A100))</f>
        <v>0.99416</v>
      </c>
    </row>
    <row r="101" spans="1:4">
      <c r="A101" s="6">
        <v>5</v>
      </c>
      <c r="B101" s="7" t="s">
        <v>21</v>
      </c>
      <c r="C101" s="6">
        <v>1</v>
      </c>
      <c r="D101" s="8">
        <f>1+$C$1*(INDEX(日因子!$C:$C,A101+1)+0.4*INDEX(时纹理!$B:$H,C101+2,A101))</f>
        <v>1.030128</v>
      </c>
    </row>
    <row r="102" spans="1:4">
      <c r="A102" s="6">
        <v>5</v>
      </c>
      <c r="B102" s="7" t="s">
        <v>21</v>
      </c>
      <c r="C102" s="6">
        <v>2</v>
      </c>
      <c r="D102" s="8">
        <f>1+$C$1*(INDEX(日因子!$C:$C,A102+1)+0.4*INDEX(时纹理!$B:$H,C102+2,A102))</f>
        <v>0.994224</v>
      </c>
    </row>
    <row r="103" spans="1:4">
      <c r="A103" s="6">
        <v>5</v>
      </c>
      <c r="B103" s="7" t="s">
        <v>21</v>
      </c>
      <c r="C103" s="6">
        <v>3</v>
      </c>
      <c r="D103" s="8">
        <f>1+$C$1*(INDEX(日因子!$C:$C,A103+1)+0.4*INDEX(时纹理!$B:$H,C103+2,A103))</f>
        <v>1.028336</v>
      </c>
    </row>
    <row r="104" spans="1:4">
      <c r="A104" s="6">
        <v>5</v>
      </c>
      <c r="B104" s="7" t="s">
        <v>21</v>
      </c>
      <c r="C104" s="6">
        <v>4</v>
      </c>
      <c r="D104" s="8">
        <f>1+$C$1*(INDEX(日因子!$C:$C,A104+1)+0.4*INDEX(时纹理!$B:$H,C104+2,A104))</f>
        <v>0.999696</v>
      </c>
    </row>
    <row r="105" spans="1:4">
      <c r="A105" s="6">
        <v>5</v>
      </c>
      <c r="B105" s="7" t="s">
        <v>21</v>
      </c>
      <c r="C105" s="6">
        <v>5</v>
      </c>
      <c r="D105" s="8">
        <f>1+$C$1*(INDEX(日因子!$C:$C,A105+1)+0.4*INDEX(时纹理!$B:$H,C105+2,A105))</f>
        <v>1.023088</v>
      </c>
    </row>
    <row r="106" spans="1:4">
      <c r="A106" s="6">
        <v>5</v>
      </c>
      <c r="B106" s="7" t="s">
        <v>21</v>
      </c>
      <c r="C106" s="6">
        <v>6</v>
      </c>
      <c r="D106" s="8">
        <f>1+$C$1*(INDEX(日因子!$C:$C,A106+1)+0.4*INDEX(时纹理!$B:$H,C106+2,A106))</f>
        <v>1.021872</v>
      </c>
    </row>
    <row r="107" spans="1:4">
      <c r="A107" s="6">
        <v>5</v>
      </c>
      <c r="B107" s="7" t="s">
        <v>21</v>
      </c>
      <c r="C107" s="6">
        <v>7</v>
      </c>
      <c r="D107" s="8">
        <f>1+$C$1*(INDEX(日因子!$C:$C,A107+1)+0.4*INDEX(时纹理!$B:$H,C107+2,A107))</f>
        <v>1.006256</v>
      </c>
    </row>
    <row r="108" spans="1:4">
      <c r="A108" s="6">
        <v>5</v>
      </c>
      <c r="B108" s="7" t="s">
        <v>21</v>
      </c>
      <c r="C108" s="6">
        <v>8</v>
      </c>
      <c r="D108" s="8">
        <f>1+$C$1*(INDEX(日因子!$C:$C,A108+1)+0.4*INDEX(时纹理!$B:$H,C108+2,A108))</f>
        <v>0.989104</v>
      </c>
    </row>
    <row r="109" spans="1:4">
      <c r="A109" s="6">
        <v>5</v>
      </c>
      <c r="B109" s="7" t="s">
        <v>21</v>
      </c>
      <c r="C109" s="6">
        <v>9</v>
      </c>
      <c r="D109" s="8">
        <f>1+$C$1*(INDEX(日因子!$C:$C,A109+1)+0.4*INDEX(时纹理!$B:$H,C109+2,A109))</f>
        <v>1.009232</v>
      </c>
    </row>
    <row r="110" spans="1:4">
      <c r="A110" s="6">
        <v>5</v>
      </c>
      <c r="B110" s="7" t="s">
        <v>21</v>
      </c>
      <c r="C110" s="6">
        <v>10</v>
      </c>
      <c r="D110" s="8">
        <f>1+$C$1*(INDEX(日因子!$C:$C,A110+1)+0.4*INDEX(时纹理!$B:$H,C110+2,A110))</f>
        <v>1.023216</v>
      </c>
    </row>
    <row r="111" spans="1:4">
      <c r="A111" s="6">
        <v>5</v>
      </c>
      <c r="B111" s="7" t="s">
        <v>21</v>
      </c>
      <c r="C111" s="6">
        <v>11</v>
      </c>
      <c r="D111" s="8">
        <f>1+$C$1*(INDEX(日因子!$C:$C,A111+1)+0.4*INDEX(时纹理!$B:$H,C111+2,A111))</f>
        <v>1.080112</v>
      </c>
    </row>
    <row r="112" spans="1:4">
      <c r="A112" s="6">
        <v>5</v>
      </c>
      <c r="B112" s="7" t="s">
        <v>21</v>
      </c>
      <c r="C112" s="6">
        <v>12</v>
      </c>
      <c r="D112" s="8">
        <f>1+$C$1*(INDEX(日因子!$C:$C,A112+1)+0.4*INDEX(时纹理!$B:$H,C112+2,A112))</f>
        <v>1.08184</v>
      </c>
    </row>
    <row r="113" spans="1:4">
      <c r="A113" s="6">
        <v>5</v>
      </c>
      <c r="B113" s="7" t="s">
        <v>21</v>
      </c>
      <c r="C113" s="6">
        <v>13</v>
      </c>
      <c r="D113" s="8">
        <f>1+$C$1*(INDEX(日因子!$C:$C,A113+1)+0.4*INDEX(时纹理!$B:$H,C113+2,A113))</f>
        <v>1.047344</v>
      </c>
    </row>
    <row r="114" spans="1:4">
      <c r="A114" s="6">
        <v>5</v>
      </c>
      <c r="B114" s="7" t="s">
        <v>21</v>
      </c>
      <c r="C114" s="6">
        <v>14</v>
      </c>
      <c r="D114" s="8">
        <f>1+$C$1*(INDEX(日因子!$C:$C,A114+1)+0.4*INDEX(时纹理!$B:$H,C114+2,A114))</f>
        <v>1.07352</v>
      </c>
    </row>
    <row r="115" spans="1:4">
      <c r="A115" s="6">
        <v>5</v>
      </c>
      <c r="B115" s="7" t="s">
        <v>21</v>
      </c>
      <c r="C115" s="6">
        <v>15</v>
      </c>
      <c r="D115" s="8">
        <f>1+$C$1*(INDEX(日因子!$C:$C,A115+1)+0.4*INDEX(时纹理!$B:$H,C115+2,A115))</f>
        <v>1.000528</v>
      </c>
    </row>
    <row r="116" spans="1:4">
      <c r="A116" s="6">
        <v>5</v>
      </c>
      <c r="B116" s="7" t="s">
        <v>21</v>
      </c>
      <c r="C116" s="6">
        <v>16</v>
      </c>
      <c r="D116" s="8">
        <f>1+$C$1*(INDEX(日因子!$C:$C,A116+1)+0.4*INDEX(时纹理!$B:$H,C116+2,A116))</f>
        <v>1.046736</v>
      </c>
    </row>
    <row r="117" spans="1:4">
      <c r="A117" s="6">
        <v>5</v>
      </c>
      <c r="B117" s="7" t="s">
        <v>21</v>
      </c>
      <c r="C117" s="6">
        <v>17</v>
      </c>
      <c r="D117" s="8">
        <f>1+$C$1*(INDEX(日因子!$C:$C,A117+1)+0.4*INDEX(时纹理!$B:$H,C117+2,A117))</f>
        <v>1.03464</v>
      </c>
    </row>
    <row r="118" spans="1:4">
      <c r="A118" s="6">
        <v>5</v>
      </c>
      <c r="B118" s="7" t="s">
        <v>21</v>
      </c>
      <c r="C118" s="6">
        <v>18</v>
      </c>
      <c r="D118" s="8">
        <f>1+$C$1*(INDEX(日因子!$C:$C,A118+1)+0.4*INDEX(时纹理!$B:$H,C118+2,A118))</f>
        <v>1.017328</v>
      </c>
    </row>
    <row r="119" spans="1:4">
      <c r="A119" s="6">
        <v>5</v>
      </c>
      <c r="B119" s="7" t="s">
        <v>21</v>
      </c>
      <c r="C119" s="6">
        <v>19</v>
      </c>
      <c r="D119" s="8">
        <f>1+$C$1*(INDEX(日因子!$C:$C,A119+1)+0.4*INDEX(时纹理!$B:$H,C119+2,A119))</f>
        <v>1.046288</v>
      </c>
    </row>
    <row r="120" spans="1:4">
      <c r="A120" s="6">
        <v>5</v>
      </c>
      <c r="B120" s="7" t="s">
        <v>21</v>
      </c>
      <c r="C120" s="6">
        <v>20</v>
      </c>
      <c r="D120" s="8">
        <f>1+$C$1*(INDEX(日因子!$C:$C,A120+1)+0.4*INDEX(时纹理!$B:$H,C120+2,A120))</f>
        <v>0.999312</v>
      </c>
    </row>
    <row r="121" spans="1:4">
      <c r="A121" s="6">
        <v>5</v>
      </c>
      <c r="B121" s="7" t="s">
        <v>21</v>
      </c>
      <c r="C121" s="6">
        <v>21</v>
      </c>
      <c r="D121" s="8">
        <f>1+$C$1*(INDEX(日因子!$C:$C,A121+1)+0.4*INDEX(时纹理!$B:$H,C121+2,A121))</f>
        <v>0.969392</v>
      </c>
    </row>
    <row r="122" spans="1:4">
      <c r="A122" s="6">
        <v>5</v>
      </c>
      <c r="B122" s="7" t="s">
        <v>21</v>
      </c>
      <c r="C122" s="6">
        <v>22</v>
      </c>
      <c r="D122" s="8">
        <f>1+$C$1*(INDEX(日因子!$C:$C,A122+1)+0.4*INDEX(时纹理!$B:$H,C122+2,A122))</f>
        <v>0.958768</v>
      </c>
    </row>
    <row r="123" spans="1:4">
      <c r="A123" s="6">
        <v>5</v>
      </c>
      <c r="B123" s="7" t="s">
        <v>21</v>
      </c>
      <c r="C123" s="6">
        <v>23</v>
      </c>
      <c r="D123" s="8">
        <f>1+$C$1*(INDEX(日因子!$C:$C,A123+1)+0.4*INDEX(时纹理!$B:$H,C123+2,A123))</f>
        <v>0.979888</v>
      </c>
    </row>
    <row r="124" spans="1:4">
      <c r="A124" s="6">
        <v>6</v>
      </c>
      <c r="B124" s="7" t="s">
        <v>22</v>
      </c>
      <c r="C124" s="6">
        <v>0</v>
      </c>
      <c r="D124" s="8">
        <f>1+$C$1*(INDEX(日因子!$C:$C,A124+1)+0.4*INDEX(时纹理!$B:$H,C124+2,A124))</f>
        <v>0.998992</v>
      </c>
    </row>
    <row r="125" spans="1:4">
      <c r="A125" s="6">
        <v>6</v>
      </c>
      <c r="B125" s="7" t="s">
        <v>22</v>
      </c>
      <c r="C125" s="6">
        <v>1</v>
      </c>
      <c r="D125" s="8">
        <f>1+$C$1*(INDEX(日因子!$C:$C,A125+1)+0.4*INDEX(时纹理!$B:$H,C125+2,A125))</f>
        <v>1.024624</v>
      </c>
    </row>
    <row r="126" spans="1:4">
      <c r="A126" s="6">
        <v>6</v>
      </c>
      <c r="B126" s="7" t="s">
        <v>22</v>
      </c>
      <c r="C126" s="6">
        <v>2</v>
      </c>
      <c r="D126" s="8">
        <f>1+$C$1*(INDEX(日因子!$C:$C,A126+1)+0.4*INDEX(时纹理!$B:$H,C126+2,A126))</f>
        <v>1.033232</v>
      </c>
    </row>
    <row r="127" spans="1:4">
      <c r="A127" s="6">
        <v>6</v>
      </c>
      <c r="B127" s="7" t="s">
        <v>22</v>
      </c>
      <c r="C127" s="6">
        <v>3</v>
      </c>
      <c r="D127" s="8">
        <f>1+$C$1*(INDEX(日因子!$C:$C,A127+1)+0.4*INDEX(时纹理!$B:$H,C127+2,A127))</f>
        <v>1.033488</v>
      </c>
    </row>
    <row r="128" spans="1:4">
      <c r="A128" s="6">
        <v>6</v>
      </c>
      <c r="B128" s="7" t="s">
        <v>22</v>
      </c>
      <c r="C128" s="6">
        <v>4</v>
      </c>
      <c r="D128" s="8">
        <f>1+$C$1*(INDEX(日因子!$C:$C,A128+1)+0.4*INDEX(时纹理!$B:$H,C128+2,A128))</f>
        <v>1.023216</v>
      </c>
    </row>
    <row r="129" spans="1:4">
      <c r="A129" s="6">
        <v>6</v>
      </c>
      <c r="B129" s="7" t="s">
        <v>22</v>
      </c>
      <c r="C129" s="6">
        <v>5</v>
      </c>
      <c r="D129" s="8">
        <f>1+$C$1*(INDEX(日因子!$C:$C,A129+1)+0.4*INDEX(时纹理!$B:$H,C129+2,A129))</f>
        <v>1.00712</v>
      </c>
    </row>
    <row r="130" spans="1:4">
      <c r="A130" s="6">
        <v>6</v>
      </c>
      <c r="B130" s="7" t="s">
        <v>22</v>
      </c>
      <c r="C130" s="6">
        <v>6</v>
      </c>
      <c r="D130" s="8">
        <f>1+$C$1*(INDEX(日因子!$C:$C,A130+1)+0.4*INDEX(时纹理!$B:$H,C130+2,A130))</f>
        <v>0.961968</v>
      </c>
    </row>
    <row r="131" spans="1:4">
      <c r="A131" s="6">
        <v>6</v>
      </c>
      <c r="B131" s="7" t="s">
        <v>22</v>
      </c>
      <c r="C131" s="6">
        <v>7</v>
      </c>
      <c r="D131" s="8">
        <f>1+$C$1*(INDEX(日因子!$C:$C,A131+1)+0.4*INDEX(时纹理!$B:$H,C131+2,A131))</f>
        <v>0.978832</v>
      </c>
    </row>
    <row r="132" spans="1:4">
      <c r="A132" s="6">
        <v>6</v>
      </c>
      <c r="B132" s="7" t="s">
        <v>22</v>
      </c>
      <c r="C132" s="6">
        <v>8</v>
      </c>
      <c r="D132" s="8">
        <f>1+$C$1*(INDEX(日因子!$C:$C,A132+1)+0.4*INDEX(时纹理!$B:$H,C132+2,A132))</f>
        <v>0.970896</v>
      </c>
    </row>
    <row r="133" spans="1:4">
      <c r="A133" s="6">
        <v>6</v>
      </c>
      <c r="B133" s="7" t="s">
        <v>22</v>
      </c>
      <c r="C133" s="6">
        <v>9</v>
      </c>
      <c r="D133" s="8">
        <f>1+$C$1*(INDEX(日因子!$C:$C,A133+1)+0.4*INDEX(时纹理!$B:$H,C133+2,A133))</f>
        <v>0.965744</v>
      </c>
    </row>
    <row r="134" spans="1:4">
      <c r="A134" s="6">
        <v>6</v>
      </c>
      <c r="B134" s="7" t="s">
        <v>22</v>
      </c>
      <c r="C134" s="6">
        <v>10</v>
      </c>
      <c r="D134" s="8">
        <f>1+$C$1*(INDEX(日因子!$C:$C,A134+1)+0.4*INDEX(时纹理!$B:$H,C134+2,A134))</f>
        <v>0.964208</v>
      </c>
    </row>
    <row r="135" spans="1:4">
      <c r="A135" s="6">
        <v>6</v>
      </c>
      <c r="B135" s="7" t="s">
        <v>22</v>
      </c>
      <c r="C135" s="6">
        <v>11</v>
      </c>
      <c r="D135" s="8">
        <f>1+$C$1*(INDEX(日因子!$C:$C,A135+1)+0.4*INDEX(时纹理!$B:$H,C135+2,A135))</f>
        <v>0.938032</v>
      </c>
    </row>
    <row r="136" spans="1:4">
      <c r="A136" s="6">
        <v>6</v>
      </c>
      <c r="B136" s="7" t="s">
        <v>22</v>
      </c>
      <c r="C136" s="6">
        <v>12</v>
      </c>
      <c r="D136" s="8">
        <f>1+$C$1*(INDEX(日因子!$C:$C,A136+1)+0.4*INDEX(时纹理!$B:$H,C136+2,A136))</f>
        <v>0.91128</v>
      </c>
    </row>
    <row r="137" spans="1:4">
      <c r="A137" s="6">
        <v>6</v>
      </c>
      <c r="B137" s="7" t="s">
        <v>22</v>
      </c>
      <c r="C137" s="6">
        <v>13</v>
      </c>
      <c r="D137" s="8">
        <f>1+$C$1*(INDEX(日因子!$C:$C,A137+1)+0.4*INDEX(时纹理!$B:$H,C137+2,A137))</f>
        <v>0.964144</v>
      </c>
    </row>
    <row r="138" spans="1:4">
      <c r="A138" s="6">
        <v>6</v>
      </c>
      <c r="B138" s="7" t="s">
        <v>22</v>
      </c>
      <c r="C138" s="6">
        <v>14</v>
      </c>
      <c r="D138" s="8">
        <f>1+$C$1*(INDEX(日因子!$C:$C,A138+1)+0.4*INDEX(时纹理!$B:$H,C138+2,A138))</f>
        <v>0.99352</v>
      </c>
    </row>
    <row r="139" spans="1:4">
      <c r="A139" s="6">
        <v>6</v>
      </c>
      <c r="B139" s="7" t="s">
        <v>22</v>
      </c>
      <c r="C139" s="6">
        <v>15</v>
      </c>
      <c r="D139" s="8">
        <f>1+$C$1*(INDEX(日因子!$C:$C,A139+1)+0.4*INDEX(时纹理!$B:$H,C139+2,A139))</f>
        <v>0.98232</v>
      </c>
    </row>
    <row r="140" spans="1:4">
      <c r="A140" s="6">
        <v>6</v>
      </c>
      <c r="B140" s="7" t="s">
        <v>22</v>
      </c>
      <c r="C140" s="6">
        <v>16</v>
      </c>
      <c r="D140" s="8">
        <f>1+$C$1*(INDEX(日因子!$C:$C,A140+1)+0.4*INDEX(时纹理!$B:$H,C140+2,A140))</f>
        <v>0.978864</v>
      </c>
    </row>
    <row r="141" spans="1:4">
      <c r="A141" s="6">
        <v>6</v>
      </c>
      <c r="B141" s="7" t="s">
        <v>22</v>
      </c>
      <c r="C141" s="6">
        <v>17</v>
      </c>
      <c r="D141" s="8">
        <f>1+$C$1*(INDEX(日因子!$C:$C,A141+1)+0.4*INDEX(时纹理!$B:$H,C141+2,A141))</f>
        <v>1.009104</v>
      </c>
    </row>
    <row r="142" spans="1:4">
      <c r="A142" s="6">
        <v>6</v>
      </c>
      <c r="B142" s="7" t="s">
        <v>22</v>
      </c>
      <c r="C142" s="6">
        <v>18</v>
      </c>
      <c r="D142" s="8">
        <f>1+$C$1*(INDEX(日因子!$C:$C,A142+1)+0.4*INDEX(时纹理!$B:$H,C142+2,A142))</f>
        <v>0.997264</v>
      </c>
    </row>
    <row r="143" spans="1:4">
      <c r="A143" s="6">
        <v>6</v>
      </c>
      <c r="B143" s="7" t="s">
        <v>22</v>
      </c>
      <c r="C143" s="6">
        <v>19</v>
      </c>
      <c r="D143" s="8">
        <f>1+$C$1*(INDEX(日因子!$C:$C,A143+1)+0.4*INDEX(时纹理!$B:$H,C143+2,A143))</f>
        <v>1.025648</v>
      </c>
    </row>
    <row r="144" spans="1:4">
      <c r="A144" s="6">
        <v>6</v>
      </c>
      <c r="B144" s="7" t="s">
        <v>22</v>
      </c>
      <c r="C144" s="6">
        <v>20</v>
      </c>
      <c r="D144" s="8">
        <f>1+$C$1*(INDEX(日因子!$C:$C,A144+1)+0.4*INDEX(时纹理!$B:$H,C144+2,A144))</f>
        <v>1.026928</v>
      </c>
    </row>
    <row r="145" spans="1:4">
      <c r="A145" s="6">
        <v>6</v>
      </c>
      <c r="B145" s="7" t="s">
        <v>22</v>
      </c>
      <c r="C145" s="6">
        <v>21</v>
      </c>
      <c r="D145" s="8">
        <f>1+$C$1*(INDEX(日因子!$C:$C,A145+1)+0.4*INDEX(时纹理!$B:$H,C145+2,A145))</f>
        <v>0.98488</v>
      </c>
    </row>
    <row r="146" spans="1:4">
      <c r="A146" s="6">
        <v>6</v>
      </c>
      <c r="B146" s="7" t="s">
        <v>22</v>
      </c>
      <c r="C146" s="6">
        <v>22</v>
      </c>
      <c r="D146" s="8">
        <f>1+$C$1*(INDEX(日因子!$C:$C,A146+1)+0.4*INDEX(时纹理!$B:$H,C146+2,A146))</f>
        <v>1.008368</v>
      </c>
    </row>
    <row r="147" spans="1:4">
      <c r="A147" s="6">
        <v>6</v>
      </c>
      <c r="B147" s="7" t="s">
        <v>22</v>
      </c>
      <c r="C147" s="6">
        <v>23</v>
      </c>
      <c r="D147" s="8">
        <f>1+$C$1*(INDEX(日因子!$C:$C,A147+1)+0.4*INDEX(时纹理!$B:$H,C147+2,A147))</f>
        <v>1.018096</v>
      </c>
    </row>
    <row r="148" spans="1:4">
      <c r="A148" s="6">
        <v>7</v>
      </c>
      <c r="B148" s="7" t="s">
        <v>23</v>
      </c>
      <c r="C148" s="6">
        <v>0</v>
      </c>
      <c r="D148" s="8">
        <f>1+$C$1*(INDEX(日因子!$C:$C,A148+1)+0.4*INDEX(时纹理!$B:$H,C148+2,A148))</f>
        <v>0.968624</v>
      </c>
    </row>
    <row r="149" spans="1:4">
      <c r="A149" s="6">
        <v>7</v>
      </c>
      <c r="B149" s="7" t="s">
        <v>23</v>
      </c>
      <c r="C149" s="6">
        <v>1</v>
      </c>
      <c r="D149" s="8">
        <f>1+$C$1*(INDEX(日因子!$C:$C,A149+1)+0.4*INDEX(时纹理!$B:$H,C149+2,A149))</f>
        <v>1.025328</v>
      </c>
    </row>
    <row r="150" spans="1:4">
      <c r="A150" s="6">
        <v>7</v>
      </c>
      <c r="B150" s="7" t="s">
        <v>23</v>
      </c>
      <c r="C150" s="6">
        <v>2</v>
      </c>
      <c r="D150" s="8">
        <f>1+$C$1*(INDEX(日因子!$C:$C,A150+1)+0.4*INDEX(时纹理!$B:$H,C150+2,A150))</f>
        <v>1.034608</v>
      </c>
    </row>
    <row r="151" spans="1:4">
      <c r="A151" s="6">
        <v>7</v>
      </c>
      <c r="B151" s="7" t="s">
        <v>23</v>
      </c>
      <c r="C151" s="6">
        <v>3</v>
      </c>
      <c r="D151" s="8">
        <f>1+$C$1*(INDEX(日因子!$C:$C,A151+1)+0.4*INDEX(时纹理!$B:$H,C151+2,A151))</f>
        <v>0.981776</v>
      </c>
    </row>
    <row r="152" spans="1:4">
      <c r="A152" s="6">
        <v>7</v>
      </c>
      <c r="B152" s="7" t="s">
        <v>23</v>
      </c>
      <c r="C152" s="6">
        <v>4</v>
      </c>
      <c r="D152" s="8">
        <f>1+$C$1*(INDEX(日因子!$C:$C,A152+1)+0.4*INDEX(时纹理!$B:$H,C152+2,A152))</f>
        <v>1.001136</v>
      </c>
    </row>
    <row r="153" spans="1:4">
      <c r="A153" s="6">
        <v>7</v>
      </c>
      <c r="B153" s="7" t="s">
        <v>23</v>
      </c>
      <c r="C153" s="6">
        <v>5</v>
      </c>
      <c r="D153" s="8">
        <f>1+$C$1*(INDEX(日因子!$C:$C,A153+1)+0.4*INDEX(时纹理!$B:$H,C153+2,A153))</f>
        <v>1.00824</v>
      </c>
    </row>
    <row r="154" spans="1:4">
      <c r="A154" s="6">
        <v>7</v>
      </c>
      <c r="B154" s="7" t="s">
        <v>23</v>
      </c>
      <c r="C154" s="6">
        <v>6</v>
      </c>
      <c r="D154" s="8">
        <f>1+$C$1*(INDEX(日因子!$C:$C,A154+1)+0.4*INDEX(时纹理!$B:$H,C154+2,A154))</f>
        <v>1.016656</v>
      </c>
    </row>
    <row r="155" spans="1:4">
      <c r="A155" s="6">
        <v>7</v>
      </c>
      <c r="B155" s="7" t="s">
        <v>23</v>
      </c>
      <c r="C155" s="6">
        <v>7</v>
      </c>
      <c r="D155" s="8">
        <f>1+$C$1*(INDEX(日因子!$C:$C,A155+1)+0.4*INDEX(时纹理!$B:$H,C155+2,A155))</f>
        <v>1.007952</v>
      </c>
    </row>
    <row r="156" spans="1:4">
      <c r="A156" s="6">
        <v>7</v>
      </c>
      <c r="B156" s="7" t="s">
        <v>23</v>
      </c>
      <c r="C156" s="6">
        <v>8</v>
      </c>
      <c r="D156" s="8">
        <f>1+$C$1*(INDEX(日因子!$C:$C,A156+1)+0.4*INDEX(时纹理!$B:$H,C156+2,A156))</f>
        <v>1.016848</v>
      </c>
    </row>
    <row r="157" spans="1:4">
      <c r="A157" s="6">
        <v>7</v>
      </c>
      <c r="B157" s="7" t="s">
        <v>23</v>
      </c>
      <c r="C157" s="6">
        <v>9</v>
      </c>
      <c r="D157" s="8">
        <f>1+$C$1*(INDEX(日因子!$C:$C,A157+1)+0.4*INDEX(时纹理!$B:$H,C157+2,A157))</f>
        <v>0.967984</v>
      </c>
    </row>
    <row r="158" spans="1:4">
      <c r="A158" s="6">
        <v>7</v>
      </c>
      <c r="B158" s="7" t="s">
        <v>23</v>
      </c>
      <c r="C158" s="6">
        <v>10</v>
      </c>
      <c r="D158" s="8">
        <f>1+$C$1*(INDEX(日因子!$C:$C,A158+1)+0.4*INDEX(时纹理!$B:$H,C158+2,A158))</f>
        <v>0.958064</v>
      </c>
    </row>
    <row r="159" spans="1:4">
      <c r="A159" s="6">
        <v>7</v>
      </c>
      <c r="B159" s="7" t="s">
        <v>23</v>
      </c>
      <c r="C159" s="6">
        <v>11</v>
      </c>
      <c r="D159" s="8">
        <f>1+$C$1*(INDEX(日因子!$C:$C,A159+1)+0.4*INDEX(时纹理!$B:$H,C159+2,A159))</f>
        <v>0.967248</v>
      </c>
    </row>
    <row r="160" spans="1:4">
      <c r="A160" s="6">
        <v>7</v>
      </c>
      <c r="B160" s="7" t="s">
        <v>23</v>
      </c>
      <c r="C160" s="6">
        <v>12</v>
      </c>
      <c r="D160" s="8">
        <f>1+$C$1*(INDEX(日因子!$C:$C,A160+1)+0.4*INDEX(时纹理!$B:$H,C160+2,A160))</f>
        <v>0.943728</v>
      </c>
    </row>
    <row r="161" spans="1:4">
      <c r="A161" s="6">
        <v>7</v>
      </c>
      <c r="B161" s="7" t="s">
        <v>23</v>
      </c>
      <c r="C161" s="6">
        <v>13</v>
      </c>
      <c r="D161" s="8">
        <f>1+$C$1*(INDEX(日因子!$C:$C,A161+1)+0.4*INDEX(时纹理!$B:$H,C161+2,A161))</f>
        <v>0.979504</v>
      </c>
    </row>
    <row r="162" spans="1:4">
      <c r="A162" s="6">
        <v>7</v>
      </c>
      <c r="B162" s="7" t="s">
        <v>23</v>
      </c>
      <c r="C162" s="6">
        <v>14</v>
      </c>
      <c r="D162" s="8">
        <f>1+$C$1*(INDEX(日因子!$C:$C,A162+1)+0.4*INDEX(时纹理!$B:$H,C162+2,A162))</f>
        <v>0.962512</v>
      </c>
    </row>
    <row r="163" spans="1:4">
      <c r="A163" s="6">
        <v>7</v>
      </c>
      <c r="B163" s="7" t="s">
        <v>23</v>
      </c>
      <c r="C163" s="6">
        <v>15</v>
      </c>
      <c r="D163" s="8">
        <f>1+$C$1*(INDEX(日因子!$C:$C,A163+1)+0.4*INDEX(时纹理!$B:$H,C163+2,A163))</f>
        <v>0.94472</v>
      </c>
    </row>
    <row r="164" spans="1:4">
      <c r="A164" s="6">
        <v>7</v>
      </c>
      <c r="B164" s="7" t="s">
        <v>23</v>
      </c>
      <c r="C164" s="6">
        <v>16</v>
      </c>
      <c r="D164" s="8">
        <f>1+$C$1*(INDEX(日因子!$C:$C,A164+1)+0.4*INDEX(时纹理!$B:$H,C164+2,A164))</f>
        <v>0.91128</v>
      </c>
    </row>
    <row r="165" spans="1:4">
      <c r="A165" s="6">
        <v>7</v>
      </c>
      <c r="B165" s="7" t="s">
        <v>23</v>
      </c>
      <c r="C165" s="6">
        <v>17</v>
      </c>
      <c r="D165" s="8">
        <f>1+$C$1*(INDEX(日因子!$C:$C,A165+1)+0.4*INDEX(时纹理!$B:$H,C165+2,A165))</f>
        <v>0.93</v>
      </c>
    </row>
    <row r="166" spans="1:4">
      <c r="A166" s="6">
        <v>7</v>
      </c>
      <c r="B166" s="7" t="s">
        <v>23</v>
      </c>
      <c r="C166" s="6">
        <v>18</v>
      </c>
      <c r="D166" s="8">
        <f>1+$C$1*(INDEX(日因子!$C:$C,A166+1)+0.4*INDEX(时纹理!$B:$H,C166+2,A166))</f>
        <v>1.021072</v>
      </c>
    </row>
    <row r="167" spans="1:4">
      <c r="A167" s="6">
        <v>7</v>
      </c>
      <c r="B167" s="7" t="s">
        <v>23</v>
      </c>
      <c r="C167" s="6">
        <v>19</v>
      </c>
      <c r="D167" s="8">
        <f>1+$C$1*(INDEX(日因子!$C:$C,A167+1)+0.4*INDEX(时纹理!$B:$H,C167+2,A167))</f>
        <v>0.9796</v>
      </c>
    </row>
    <row r="168" spans="1:4">
      <c r="A168" s="6">
        <v>7</v>
      </c>
      <c r="B168" s="7" t="s">
        <v>23</v>
      </c>
      <c r="C168" s="6">
        <v>20</v>
      </c>
      <c r="D168" s="8">
        <f>1+$C$1*(INDEX(日因子!$C:$C,A168+1)+0.4*INDEX(时纹理!$B:$H,C168+2,A168))</f>
        <v>1.025424</v>
      </c>
    </row>
    <row r="169" spans="1:4">
      <c r="A169" s="6">
        <v>7</v>
      </c>
      <c r="B169" s="7" t="s">
        <v>23</v>
      </c>
      <c r="C169" s="6">
        <v>21</v>
      </c>
      <c r="D169" s="8">
        <f>1+$C$1*(INDEX(日因子!$C:$C,A169+1)+0.4*INDEX(时纹理!$B:$H,C169+2,A169))</f>
        <v>0.978384</v>
      </c>
    </row>
    <row r="170" spans="1:4">
      <c r="A170" s="6">
        <v>7</v>
      </c>
      <c r="B170" s="7" t="s">
        <v>23</v>
      </c>
      <c r="C170" s="6">
        <v>22</v>
      </c>
      <c r="D170" s="8">
        <f>1+$C$1*(INDEX(日因子!$C:$C,A170+1)+0.4*INDEX(时纹理!$B:$H,C170+2,A170))</f>
        <v>0.993776</v>
      </c>
    </row>
    <row r="171" spans="1:4">
      <c r="A171" s="6">
        <v>7</v>
      </c>
      <c r="B171" s="7" t="s">
        <v>23</v>
      </c>
      <c r="C171" s="6">
        <v>23</v>
      </c>
      <c r="D171" s="8">
        <f>1+$C$1*(INDEX(日因子!$C:$C,A171+1)+0.4*INDEX(时纹理!$B:$H,C171+2,A171))</f>
        <v>0.970352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日因子</vt:lpstr>
      <vt:lpstr>时纹理</vt:lpstr>
      <vt:lpstr>波动幅度</vt:lpstr>
      <vt:lpstr>示例_首周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邹蔼婷</cp:lastModifiedBy>
  <cp:revision>0</cp:revision>
  <dcterms:created xsi:type="dcterms:W3CDTF">2026-07-02T10:42:00Z</dcterms:created>
  <dcterms:modified xsi:type="dcterms:W3CDTF">2026-07-02T10:58:31Z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A1F0D490957E48ADAF1A296E70A64344_12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